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24d867b4dc6938e/Desktop/EXCEL_PROJECT_WORK/03_PROJECT_ADVANCED_EXCEL/"/>
    </mc:Choice>
  </mc:AlternateContent>
  <xr:revisionPtr revIDLastSave="1352" documentId="8_{5623921D-074D-4B88-A3EF-D2AF1E6CAF8A}" xr6:coauthVersionLast="47" xr6:coauthVersionMax="47" xr10:uidLastSave="{722F66B3-A04D-4D06-9C1B-7F4F1324D8FC}"/>
  <bookViews>
    <workbookView xWindow="-110" yWindow="-110" windowWidth="19420" windowHeight="10300" firstSheet="1" activeTab="4" xr2:uid="{00000000-000D-0000-FFFF-FFFF00000000}"/>
  </bookViews>
  <sheets>
    <sheet name="RAW_DATA" sheetId="6" r:id="rId1"/>
    <sheet name="CLEANED_DATA" sheetId="7" r:id="rId2"/>
    <sheet name="KPI_SUMMARY" sheetId="8" r:id="rId3"/>
    <sheet name="PIVOT_ANALYSIS" sheetId="9" r:id="rId4"/>
    <sheet name="DASHBOARD" sheetId="10" r:id="rId5"/>
    <sheet name="INSIGHTS" sheetId="11" r:id="rId6"/>
  </sheets>
  <definedNames>
    <definedName name="_xlchart.v1.0" hidden="1">DASHBOARD!$V$4:$V$8</definedName>
    <definedName name="_xlchart.v1.1" hidden="1">DASHBOARD!$W$3</definedName>
    <definedName name="_xlchart.v1.2" hidden="1">DASHBOARD!$W$4:$W$8</definedName>
    <definedName name="NativeTimeline_Date">#N/A</definedName>
  </definedNames>
  <calcPr calcId="191029"/>
  <pivotCaches>
    <pivotCache cacheId="0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1" l="1"/>
  <c r="D44" i="11"/>
  <c r="D43" i="11"/>
  <c r="D42" i="11"/>
  <c r="D41" i="11"/>
  <c r="D40" i="11"/>
  <c r="D39" i="11"/>
  <c r="Z5" i="10"/>
  <c r="Z4" i="10"/>
  <c r="W5" i="10"/>
  <c r="W8" i="10"/>
  <c r="W7" i="10"/>
  <c r="W6" i="10"/>
  <c r="W4" i="10"/>
  <c r="Q4" i="10"/>
  <c r="N4" i="10"/>
  <c r="K4" i="10"/>
  <c r="H4" i="10"/>
  <c r="E4" i="10"/>
  <c r="B4" i="10"/>
  <c r="E36" i="9"/>
  <c r="E37" i="9"/>
  <c r="E38" i="9"/>
  <c r="E39" i="9"/>
  <c r="E35" i="9"/>
  <c r="H47" i="8"/>
  <c r="H46" i="8"/>
  <c r="H48" i="8" s="1"/>
  <c r="G47" i="8"/>
  <c r="G46" i="8"/>
  <c r="G48" i="8" s="1"/>
  <c r="E47" i="8"/>
  <c r="E46" i="8"/>
  <c r="C47" i="8"/>
  <c r="C46" i="8"/>
  <c r="H40" i="8"/>
  <c r="H39" i="8"/>
  <c r="H38" i="8"/>
  <c r="H37" i="8"/>
  <c r="H36" i="8"/>
  <c r="H35" i="8"/>
  <c r="G40" i="8"/>
  <c r="G39" i="8"/>
  <c r="G38" i="8"/>
  <c r="G37" i="8"/>
  <c r="G36" i="8"/>
  <c r="G35" i="8"/>
  <c r="F35" i="8"/>
  <c r="E40" i="8"/>
  <c r="E39" i="8"/>
  <c r="E38" i="8"/>
  <c r="E37" i="8"/>
  <c r="E36" i="8"/>
  <c r="E35" i="8"/>
  <c r="C40" i="8"/>
  <c r="C39" i="8"/>
  <c r="C38" i="8"/>
  <c r="C37" i="8"/>
  <c r="C36" i="8"/>
  <c r="C35" i="8"/>
  <c r="H29" i="8"/>
  <c r="H28" i="8"/>
  <c r="H27" i="8"/>
  <c r="H26" i="8"/>
  <c r="H25" i="8"/>
  <c r="G29" i="8"/>
  <c r="G28" i="8"/>
  <c r="G27" i="8"/>
  <c r="G26" i="8"/>
  <c r="G25" i="8"/>
  <c r="E29" i="8"/>
  <c r="E28" i="8"/>
  <c r="E27" i="8"/>
  <c r="E26" i="8"/>
  <c r="E25" i="8"/>
  <c r="C29" i="8"/>
  <c r="C28" i="8"/>
  <c r="C27" i="8"/>
  <c r="C26" i="8"/>
  <c r="C25" i="8"/>
  <c r="H15" i="8"/>
  <c r="H17" i="8"/>
  <c r="H18" i="8"/>
  <c r="H16" i="8"/>
  <c r="H19" i="8"/>
  <c r="G15" i="8"/>
  <c r="G17" i="8"/>
  <c r="G18" i="8"/>
  <c r="G16" i="8"/>
  <c r="G19" i="8"/>
  <c r="E15" i="8"/>
  <c r="E17" i="8"/>
  <c r="E18" i="8"/>
  <c r="E16" i="8"/>
  <c r="E19" i="8"/>
  <c r="C15" i="8"/>
  <c r="C17" i="8"/>
  <c r="C18" i="8"/>
  <c r="C16" i="8"/>
  <c r="C19" i="8"/>
  <c r="D10" i="8"/>
  <c r="D8" i="8"/>
  <c r="D7" i="8"/>
  <c r="D6" i="8"/>
  <c r="D9" i="8" s="1"/>
  <c r="D5" i="8"/>
  <c r="D4" i="8"/>
  <c r="U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2" i="7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2" i="7"/>
  <c r="H30" i="8" l="1"/>
  <c r="F38" i="8"/>
  <c r="F40" i="8"/>
  <c r="H41" i="8"/>
  <c r="F39" i="8"/>
  <c r="G41" i="8"/>
  <c r="G30" i="8"/>
  <c r="E20" i="8"/>
  <c r="F26" i="8"/>
  <c r="F19" i="8"/>
  <c r="F18" i="8"/>
  <c r="E30" i="8"/>
  <c r="D36" i="8"/>
  <c r="F46" i="8"/>
  <c r="D17" i="8"/>
  <c r="G20" i="8"/>
  <c r="D37" i="8"/>
  <c r="F47" i="8"/>
  <c r="E48" i="8"/>
  <c r="D15" i="8"/>
  <c r="D40" i="8"/>
  <c r="E41" i="8"/>
  <c r="F28" i="8"/>
  <c r="H20" i="8"/>
  <c r="F16" i="8"/>
  <c r="D35" i="8"/>
  <c r="D19" i="8"/>
  <c r="D18" i="8"/>
  <c r="F15" i="8"/>
  <c r="D29" i="8"/>
  <c r="F29" i="8"/>
  <c r="C41" i="8"/>
  <c r="D46" i="8"/>
  <c r="D27" i="8"/>
  <c r="D16" i="8"/>
  <c r="F17" i="8"/>
  <c r="D28" i="8"/>
  <c r="D47" i="8"/>
  <c r="D25" i="8"/>
  <c r="D38" i="8"/>
  <c r="C20" i="8"/>
  <c r="F27" i="8"/>
  <c r="F37" i="8"/>
  <c r="C48" i="8"/>
  <c r="F36" i="8"/>
  <c r="D39" i="8"/>
  <c r="D26" i="8"/>
  <c r="C30" i="8"/>
  <c r="F25" i="8"/>
  <c r="D20" i="8" l="1"/>
  <c r="F20" i="8"/>
  <c r="D30" i="8"/>
  <c r="F30" i="8"/>
  <c r="F41" i="8"/>
  <c r="D41" i="8"/>
  <c r="F48" i="8"/>
  <c r="D48" i="8"/>
</calcChain>
</file>

<file path=xl/sharedStrings.xml><?xml version="1.0" encoding="utf-8"?>
<sst xmlns="http://schemas.openxmlformats.org/spreadsheetml/2006/main" count="8651" uniqueCount="177">
  <si>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</si>
  <si>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</si>
  <si>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</si>
  <si>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</si>
  <si>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</si>
  <si>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</si>
  <si>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</si>
  <si>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</si>
  <si>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</si>
  <si>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</si>
  <si>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</si>
  <si>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</si>
  <si>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</si>
  <si>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</si>
  <si>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</si>
  <si>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</si>
  <si>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</si>
  <si>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</si>
  <si>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</si>
  <si>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</si>
  <si>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</si>
  <si>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</si>
  <si>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</si>
  <si>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</si>
  <si>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</si>
  <si>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</si>
  <si>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</si>
  <si>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</si>
  <si>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</si>
  <si>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</si>
  <si>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</si>
  <si>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</si>
  <si>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</si>
  <si>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</si>
  <si>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</si>
  <si>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</si>
  <si>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</si>
  <si>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</si>
  <si>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</si>
  <si>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</si>
  <si>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</si>
  <si>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</si>
  <si>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</si>
  <si>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</si>
  <si>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</si>
  <si>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</si>
  <si>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</si>
  <si>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</si>
  <si>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</si>
  <si>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⚠️ DO NOT MODIFY — SOURCE DATA ONLY</t>
  </si>
  <si>
    <t>Sales</t>
  </si>
  <si>
    <t>Profit_Margin_%</t>
  </si>
  <si>
    <t>Discount_Pct</t>
  </si>
  <si>
    <t>Sales_Category</t>
  </si>
  <si>
    <t>COGS_Pct</t>
  </si>
  <si>
    <t>Profit_Flag</t>
  </si>
  <si>
    <t>OVERALL FINANCIAL KPIs — GlobalPeak Corp (2013-2014)</t>
  </si>
  <si>
    <t>KPI Metric</t>
  </si>
  <si>
    <t>Formula Used</t>
  </si>
  <si>
    <t>Value</t>
  </si>
  <si>
    <t xml:space="preserve">Business Meaning </t>
  </si>
  <si>
    <t>Total Gross Sales</t>
  </si>
  <si>
    <t>=SUM(CLEANED_DATA!H:H)</t>
  </si>
  <si>
    <t>Revenue before discounts — top line number</t>
  </si>
  <si>
    <t>Total Discounts Given</t>
  </si>
  <si>
    <t>=SUM(CLEANED_DATA!I:I)</t>
  </si>
  <si>
    <t>Total discount amount — reduces gross to net sales</t>
  </si>
  <si>
    <t>Total Net Sales</t>
  </si>
  <si>
    <t>=SUM(CLEANED_DATA!J:J)</t>
  </si>
  <si>
    <t>Actual revenue after discounts — core revenue metric</t>
  </si>
  <si>
    <t>Total COGS</t>
  </si>
  <si>
    <t>=SUM(CLEANED_DATA!K:K)</t>
  </si>
  <si>
    <t>Cost of Goods Sold — direct cost of making products</t>
  </si>
  <si>
    <t>Total Profit</t>
  </si>
  <si>
    <t>=SUM(CLEANED_DATA!L:L)</t>
  </si>
  <si>
    <t>Net profit after all costs — bottom line number</t>
  </si>
  <si>
    <t>Overall Profit Margin %</t>
  </si>
  <si>
    <t>=SUM(L:L)/SUM(J:J)</t>
  </si>
  <si>
    <t>Profit ÷ Net Sales — efficiency of business</t>
  </si>
  <si>
    <t>Total Units Sold</t>
  </si>
  <si>
    <t>=SUM(CLEANED_DATA!E:E)</t>
  </si>
  <si>
    <t>Total product units sold across all markets</t>
  </si>
  <si>
    <t>PERFORMANCE BY SEGMENT — SUMIF Analysis</t>
  </si>
  <si>
    <t>Net Sales</t>
  </si>
  <si>
    <t>% of Total</t>
  </si>
  <si>
    <t xml:space="preserve">Total Profit </t>
  </si>
  <si>
    <t xml:space="preserve">Profit Margin </t>
  </si>
  <si>
    <t>Mid Market</t>
  </si>
  <si>
    <t>Channer Partners</t>
  </si>
  <si>
    <t>Total</t>
  </si>
  <si>
    <t>PERFORMANCE BY COUNTRY — SUMIF Analysis</t>
  </si>
  <si>
    <t>PERFORMANCE BY PRODUCT — SUMIF Analysis</t>
  </si>
  <si>
    <t>PERFORMANCE BY YEAR — SUMIF Analysis</t>
  </si>
  <si>
    <t>Grand Total</t>
  </si>
  <si>
    <t>Sum of Sales</t>
  </si>
  <si>
    <t>SEGMENT × YEAR SALES MATRIX</t>
  </si>
  <si>
    <t>Total Sales</t>
  </si>
  <si>
    <t xml:space="preserve">Segment </t>
  </si>
  <si>
    <t>Sum of Profit</t>
  </si>
  <si>
    <t>PRODUCT × COUNTRY PROFIT MATRIX</t>
  </si>
  <si>
    <t xml:space="preserve"> </t>
  </si>
  <si>
    <t>DISCOUNT BAND ANALYSIS + TIMELINE SLICER</t>
  </si>
  <si>
    <t>Discount</t>
  </si>
  <si>
    <t>Profit Margin %</t>
  </si>
  <si>
    <t>GlobalPeak Corp — Financial Performance Dashboard  |  2013-2014</t>
  </si>
  <si>
    <t>Profit Margin</t>
  </si>
  <si>
    <t>P&amp;L Category</t>
  </si>
  <si>
    <t>Amount</t>
  </si>
  <si>
    <t>YEAR</t>
  </si>
  <si>
    <t>NET SALES</t>
  </si>
  <si>
    <t>GlobalPeak Corp — Financial Analytics Key Insights Report</t>
  </si>
  <si>
    <t>EXECUTIVE SUMMARY</t>
  </si>
  <si>
    <t>GlobalPeak Corp generated $118.7M in Net Sales (2013-2014) with a 14.23% profit margin on $127.9M gross revenue. Government segment dominates with 44.2% of total sales ($52.5M) and healthy 21.69% margin. However, Enterprise segment operates at a LOSS (-3.13% margin, -$614,546). High discounts are destroying margins — High discount band yields only 9.07% 
vs Low band's 17.87%. Paseo is the star product with $33M sales and $4.8M profit. Immediate action needed on Enterprise segment pricing and discount policy.</t>
  </si>
  <si>
    <t>🔴 CRITICAL FINDINGS (Immediate Action Required)</t>
  </si>
  <si>
    <t>Finding</t>
  </si>
  <si>
    <t>Action</t>
  </si>
  <si>
    <t>Enterprise Segment LOSS</t>
  </si>
  <si>
    <t xml:space="preserve">(3.13 % margin) </t>
  </si>
  <si>
    <t>Review pricing strategy</t>
  </si>
  <si>
    <t>High Discount = Low Margin</t>
  </si>
  <si>
    <t>9.07% only</t>
  </si>
  <si>
    <t>Cap high discounts</t>
  </si>
  <si>
    <t>COGS = 85.8% of Sales</t>
  </si>
  <si>
    <t>$101.8M</t>
  </si>
  <si>
    <t>Reduce production costs</t>
  </si>
  <si>
    <t>2013 only 4 months data</t>
  </si>
  <si>
    <t>Partial year</t>
  </si>
  <si>
    <t>Need full year comparison</t>
  </si>
  <si>
    <t>🟠 WARNING SIGNALS (Monitor Closely)</t>
  </si>
  <si>
    <t>Note</t>
  </si>
  <si>
    <t>Signal</t>
  </si>
  <si>
    <t xml:space="preserve">Small Business margin </t>
  </si>
  <si>
    <t>Below Benchmark</t>
  </si>
  <si>
    <t>USA lowest margin</t>
  </si>
  <si>
    <t>Despite being biggest market</t>
  </si>
  <si>
    <t>Medium discount margin</t>
  </si>
  <si>
    <t>Declined Trend</t>
  </si>
  <si>
    <t>🟢 POSITIVE FINDINGS (What's Working Well)</t>
  </si>
  <si>
    <t>Insight</t>
  </si>
  <si>
    <t>Government segment</t>
  </si>
  <si>
    <t>Channel Partners margin</t>
  </si>
  <si>
    <t>Paseo product</t>
  </si>
  <si>
    <t>Low discount margin</t>
  </si>
  <si>
    <t>Germany best margin</t>
  </si>
  <si>
    <t>44.2% revenue, 21.69% margin</t>
  </si>
  <si>
    <t>$33M sales, $4.8M profit</t>
  </si>
  <si>
    <t>Top Country</t>
  </si>
  <si>
    <t>Best discount strategy</t>
  </si>
  <si>
    <t>Most efficient</t>
  </si>
  <si>
    <t>Start segment</t>
  </si>
  <si>
    <t>Star product</t>
  </si>
  <si>
    <t>💡 STRATEGIC RECOMMENDATIONS</t>
  </si>
  <si>
    <t>Recommendation</t>
  </si>
  <si>
    <t>Priority</t>
  </si>
  <si>
    <t>Impact</t>
  </si>
  <si>
    <t>Fix Enterprise pricing</t>
  </si>
  <si>
    <t>Cap High discount band</t>
  </si>
  <si>
    <t>Reduce COGS</t>
  </si>
  <si>
    <t>Expand Government segment</t>
  </si>
  <si>
    <t>Replicate Germany strategy in USA</t>
  </si>
  <si>
    <t>Push Paseo in all markets</t>
  </si>
  <si>
    <t>HIGH</t>
  </si>
  <si>
    <t>MEDIUM</t>
  </si>
  <si>
    <t>LOW</t>
  </si>
  <si>
    <t>Stop Losses</t>
  </si>
  <si>
    <t>Margin +5 %</t>
  </si>
  <si>
    <t>Margin Improvement</t>
  </si>
  <si>
    <t>Best Margin Segment</t>
  </si>
  <si>
    <t>USA margin up</t>
  </si>
  <si>
    <t>Revenue growth</t>
  </si>
  <si>
    <t>📊 LIVE KPI METRICS (Auto-updates with data)</t>
  </si>
  <si>
    <t>Metric</t>
  </si>
  <si>
    <t>Formula</t>
  </si>
  <si>
    <t>Total Discounts</t>
  </si>
  <si>
    <t>Total Units</t>
  </si>
  <si>
    <t>PIVOT ANALYSIS SECTION</t>
  </si>
  <si>
    <t>P &amp; L CATEGORY X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</si>
</sst>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m/d/yy\ h:mm;@"/>
    <numFmt numFmtId="165" formatCode="&quot;$&quot;#,##0"/>
    <numFmt numFmtId="166" formatCode="&quot;$&quot;#,##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ADLaM Display"/>
    </font>
    <font>
      <sz val="11"/>
      <color theme="0"/>
      <name val="ADLaM Display"/>
    </font>
    <font>
      <sz val="12"/>
      <color theme="0"/>
      <name val="ADLaM Display"/>
    </font>
    <font>
      <sz val="11"/>
      <color theme="1"/>
      <name val="ADLaM Display"/>
    </font>
    <font>
      <sz val="9"/>
      <color theme="1"/>
      <name val="ADLaM Display"/>
    </font>
    <font>
      <b/>
      <sz val="11"/>
      <color theme="0"/>
      <name val="ADLaM Display"/>
    </font>
    <font>
      <b/>
      <sz val="10"/>
      <color theme="0"/>
      <name val="ADLaM Display"/>
    </font>
    <font>
      <sz val="10"/>
      <color theme="1"/>
      <name val="ADLaM Display"/>
    </font>
    <font>
      <sz val="10"/>
      <color theme="0"/>
      <name val="ADLaM Display"/>
    </font>
    <font>
      <sz val="14"/>
      <color theme="0"/>
      <name val="ADLaM Display"/>
    </font>
    <font>
      <sz val="10"/>
      <color theme="1" tint="0.249977111117893"/>
      <name val="ADLaM Display"/>
    </font>
    <font>
      <sz val="10"/>
      <color theme="1" tint="4.9989318521683403E-2"/>
      <name val="ADLaM Display"/>
    </font>
    <font>
      <sz val="10"/>
      <color theme="6" tint="-0.249977111117893"/>
      <name val="ADLaM Display"/>
    </font>
    <font>
      <sz val="10"/>
      <color theme="2" tint="-0.499984740745262"/>
      <name val="ADLaM Display"/>
    </font>
    <font>
      <sz val="11"/>
      <color theme="1" tint="0.14999847407452621"/>
      <name val="ADLaM Display"/>
    </font>
    <font>
      <sz val="14"/>
      <color theme="4" tint="-0.499984740745262"/>
      <name val="ADLaM Display"/>
    </font>
    <font>
      <sz val="14"/>
      <color theme="9" tint="-0.499984740745262"/>
      <name val="ADLaM Display"/>
    </font>
    <font>
      <sz val="14"/>
      <color rgb="FFC00000"/>
      <name val="ADLaM Display"/>
    </font>
    <font>
      <sz val="14"/>
      <color theme="5" tint="-0.499984740745262"/>
      <name val="ADLaM Display"/>
    </font>
    <font>
      <sz val="14"/>
      <color rgb="FF7030A0"/>
      <name val="ADLaM Display"/>
    </font>
    <font>
      <sz val="14"/>
      <color theme="3" tint="-0.499984740745262"/>
      <name val="ADLaM Display"/>
    </font>
    <font>
      <sz val="8"/>
      <color theme="2" tint="-0.749992370372631"/>
      <name val="ADLaM Display"/>
    </font>
  </fonts>
  <fills count="2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102D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-0.499984740745262"/>
        <bgColor theme="5" tint="-0.49998474074526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6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3" fillId="3" borderId="0" xfId="0" applyFont="1" applyFill="1"/>
    <xf numFmtId="0" fontId="0" fillId="2" borderId="0" xfId="0" applyFill="1" applyAlignment="1">
      <alignment horizontal="left" vertical="center"/>
    </xf>
    <xf numFmtId="44" fontId="2" fillId="2" borderId="0" xfId="1" applyFont="1" applyFill="1" applyAlignment="1">
      <alignment horizontal="left" vertical="center"/>
    </xf>
    <xf numFmtId="44" fontId="0" fillId="2" borderId="0" xfId="1" applyFont="1" applyFill="1" applyAlignment="1">
      <alignment horizontal="left" vertical="center"/>
    </xf>
    <xf numFmtId="14" fontId="2" fillId="2" borderId="0" xfId="1" applyNumberFormat="1" applyFont="1" applyFill="1" applyAlignment="1">
      <alignment horizontal="left" vertical="center"/>
    </xf>
    <xf numFmtId="1" fontId="2" fillId="2" borderId="0" xfId="1" applyNumberFormat="1" applyFont="1" applyFill="1" applyAlignment="1">
      <alignment horizontal="left" vertical="center"/>
    </xf>
    <xf numFmtId="49" fontId="2" fillId="2" borderId="0" xfId="1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9" fontId="0" fillId="0" borderId="0" xfId="1" applyNumberFormat="1" applyFont="1"/>
    <xf numFmtId="44" fontId="4" fillId="4" borderId="0" xfId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/>
    <xf numFmtId="0" fontId="9" fillId="0" borderId="1" xfId="0" quotePrefix="1" applyFont="1" applyBorder="1"/>
    <xf numFmtId="7" fontId="9" fillId="0" borderId="1" xfId="0" applyNumberFormat="1" applyFont="1" applyBorder="1"/>
    <xf numFmtId="10" fontId="9" fillId="0" borderId="1" xfId="0" applyNumberFormat="1" applyFont="1" applyBorder="1"/>
    <xf numFmtId="0" fontId="9" fillId="7" borderId="1" xfId="0" applyFont="1" applyFill="1" applyBorder="1"/>
    <xf numFmtId="0" fontId="9" fillId="7" borderId="1" xfId="0" quotePrefix="1" applyFont="1" applyFill="1" applyBorder="1"/>
    <xf numFmtId="7" fontId="9" fillId="7" borderId="1" xfId="0" applyNumberFormat="1" applyFont="1" applyFill="1" applyBorder="1"/>
    <xf numFmtId="1" fontId="9" fillId="7" borderId="1" xfId="0" applyNumberFormat="1" applyFont="1" applyFill="1" applyBorder="1"/>
    <xf numFmtId="0" fontId="7" fillId="8" borderId="1" xfId="0" applyFont="1" applyFill="1" applyBorder="1" applyAlignment="1">
      <alignment horizontal="center" vertical="center"/>
    </xf>
    <xf numFmtId="165" fontId="9" fillId="0" borderId="1" xfId="0" applyNumberFormat="1" applyFont="1" applyBorder="1"/>
    <xf numFmtId="166" fontId="9" fillId="0" borderId="1" xfId="0" applyNumberFormat="1" applyFont="1" applyBorder="1"/>
    <xf numFmtId="0" fontId="9" fillId="10" borderId="1" xfId="0" applyFont="1" applyFill="1" applyBorder="1"/>
    <xf numFmtId="165" fontId="9" fillId="10" borderId="1" xfId="0" applyNumberFormat="1" applyFont="1" applyFill="1" applyBorder="1"/>
    <xf numFmtId="10" fontId="9" fillId="10" borderId="1" xfId="0" applyNumberFormat="1" applyFont="1" applyFill="1" applyBorder="1"/>
    <xf numFmtId="166" fontId="9" fillId="10" borderId="1" xfId="0" applyNumberFormat="1" applyFont="1" applyFill="1" applyBorder="1"/>
    <xf numFmtId="0" fontId="7" fillId="8" borderId="1" xfId="0" applyFont="1" applyFill="1" applyBorder="1" applyAlignment="1">
      <alignment vertical="center"/>
    </xf>
    <xf numFmtId="165" fontId="11" fillId="8" borderId="1" xfId="0" applyNumberFormat="1" applyFont="1" applyFill="1" applyBorder="1"/>
    <xf numFmtId="10" fontId="11" fillId="8" borderId="1" xfId="0" applyNumberFormat="1" applyFont="1" applyFill="1" applyBorder="1"/>
    <xf numFmtId="0" fontId="11" fillId="8" borderId="1" xfId="0" applyFont="1" applyFill="1" applyBorder="1"/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vertical="center"/>
    </xf>
    <xf numFmtId="0" fontId="12" fillId="0" borderId="1" xfId="0" applyFont="1" applyBorder="1"/>
    <xf numFmtId="0" fontId="12" fillId="12" borderId="1" xfId="0" applyFont="1" applyFill="1" applyBorder="1"/>
    <xf numFmtId="165" fontId="9" fillId="12" borderId="1" xfId="0" applyNumberFormat="1" applyFont="1" applyFill="1" applyBorder="1"/>
    <xf numFmtId="10" fontId="9" fillId="12" borderId="1" xfId="0" applyNumberFormat="1" applyFont="1" applyFill="1" applyBorder="1"/>
    <xf numFmtId="3" fontId="9" fillId="12" borderId="1" xfId="0" applyNumberFormat="1" applyFont="1" applyFill="1" applyBorder="1"/>
    <xf numFmtId="3" fontId="9" fillId="0" borderId="1" xfId="0" applyNumberFormat="1" applyFont="1" applyBorder="1"/>
    <xf numFmtId="0" fontId="11" fillId="11" borderId="1" xfId="0" applyFont="1" applyFill="1" applyBorder="1"/>
    <xf numFmtId="165" fontId="11" fillId="11" borderId="1" xfId="0" applyNumberFormat="1" applyFont="1" applyFill="1" applyBorder="1"/>
    <xf numFmtId="10" fontId="11" fillId="11" borderId="1" xfId="0" applyNumberFormat="1" applyFont="1" applyFill="1" applyBorder="1"/>
    <xf numFmtId="3" fontId="11" fillId="11" borderId="1" xfId="0" applyNumberFormat="1" applyFont="1" applyFill="1" applyBorder="1"/>
    <xf numFmtId="0" fontId="7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vertical="center"/>
    </xf>
    <xf numFmtId="0" fontId="8" fillId="7" borderId="1" xfId="0" applyFont="1" applyFill="1" applyBorder="1"/>
    <xf numFmtId="165" fontId="9" fillId="7" borderId="1" xfId="0" applyNumberFormat="1" applyFont="1" applyFill="1" applyBorder="1"/>
    <xf numFmtId="10" fontId="9" fillId="7" borderId="1" xfId="0" applyNumberFormat="1" applyFont="1" applyFill="1" applyBorder="1"/>
    <xf numFmtId="0" fontId="7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vertical="center"/>
    </xf>
    <xf numFmtId="9" fontId="0" fillId="0" borderId="0" xfId="0" applyNumberFormat="1"/>
    <xf numFmtId="1" fontId="8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right" vertical="center"/>
    </xf>
    <xf numFmtId="10" fontId="12" fillId="0" borderId="1" xfId="0" applyNumberFormat="1" applyFont="1" applyBorder="1" applyAlignment="1">
      <alignment horizontal="right" vertical="center"/>
    </xf>
    <xf numFmtId="1" fontId="8" fillId="17" borderId="1" xfId="0" applyNumberFormat="1" applyFont="1" applyFill="1" applyBorder="1" applyAlignment="1">
      <alignment horizontal="center" vertical="center"/>
    </xf>
    <xf numFmtId="165" fontId="12" fillId="17" borderId="1" xfId="0" applyNumberFormat="1" applyFont="1" applyFill="1" applyBorder="1" applyAlignment="1">
      <alignment horizontal="right" vertical="center"/>
    </xf>
    <xf numFmtId="10" fontId="12" fillId="17" borderId="1" xfId="0" applyNumberFormat="1" applyFont="1" applyFill="1" applyBorder="1" applyAlignment="1">
      <alignment horizontal="right" vertical="center"/>
    </xf>
    <xf numFmtId="0" fontId="6" fillId="16" borderId="1" xfId="0" applyFont="1" applyFill="1" applyBorder="1" applyAlignment="1">
      <alignment horizontal="center" vertical="center"/>
    </xf>
    <xf numFmtId="165" fontId="13" fillId="16" borderId="1" xfId="0" applyNumberFormat="1" applyFont="1" applyFill="1" applyBorder="1" applyAlignment="1">
      <alignment horizontal="right" vertical="center"/>
    </xf>
    <xf numFmtId="10" fontId="13" fillId="1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10" fillId="14" borderId="1" xfId="0" applyFont="1" applyFill="1" applyBorder="1"/>
    <xf numFmtId="165" fontId="11" fillId="14" borderId="1" xfId="0" applyNumberFormat="1" applyFont="1" applyFill="1" applyBorder="1"/>
    <xf numFmtId="10" fontId="11" fillId="14" borderId="1" xfId="0" applyNumberFormat="1" applyFont="1" applyFill="1" applyBorder="1"/>
    <xf numFmtId="0" fontId="8" fillId="0" borderId="1" xfId="0" pivotButton="1" applyFont="1" applyBorder="1"/>
    <xf numFmtId="0" fontId="8" fillId="0" borderId="1" xfId="0" applyFont="1" applyBorder="1" applyAlignment="1">
      <alignment horizontal="left"/>
    </xf>
    <xf numFmtId="5" fontId="8" fillId="0" borderId="1" xfId="0" applyNumberFormat="1" applyFont="1" applyBorder="1"/>
    <xf numFmtId="0" fontId="16" fillId="0" borderId="1" xfId="0" applyFont="1" applyBorder="1" applyAlignment="1">
      <alignment horizontal="left"/>
    </xf>
    <xf numFmtId="5" fontId="17" fillId="0" borderId="1" xfId="0" applyNumberFormat="1" applyFont="1" applyBorder="1"/>
    <xf numFmtId="0" fontId="6" fillId="18" borderId="1" xfId="0" applyFont="1" applyFill="1" applyBorder="1" applyAlignment="1">
      <alignment horizontal="left"/>
    </xf>
    <xf numFmtId="5" fontId="6" fillId="18" borderId="1" xfId="0" applyNumberFormat="1" applyFont="1" applyFill="1" applyBorder="1"/>
    <xf numFmtId="5" fontId="18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5" fontId="6" fillId="9" borderId="1" xfId="0" applyNumberFormat="1" applyFont="1" applyFill="1" applyBorder="1"/>
    <xf numFmtId="0" fontId="19" fillId="12" borderId="1" xfId="0" applyFont="1" applyFill="1" applyBorder="1" applyAlignment="1">
      <alignment horizontal="left"/>
    </xf>
    <xf numFmtId="5" fontId="18" fillId="12" borderId="1" xfId="0" applyNumberFormat="1" applyFont="1" applyFill="1" applyBorder="1"/>
    <xf numFmtId="0" fontId="6" fillId="14" borderId="1" xfId="0" applyFont="1" applyFill="1" applyBorder="1"/>
    <xf numFmtId="0" fontId="16" fillId="7" borderId="1" xfId="0" applyFont="1" applyFill="1" applyBorder="1" applyAlignment="1">
      <alignment horizontal="left"/>
    </xf>
    <xf numFmtId="5" fontId="17" fillId="7" borderId="1" xfId="0" applyNumberFormat="1" applyFont="1" applyFill="1" applyBorder="1"/>
    <xf numFmtId="0" fontId="6" fillId="11" borderId="1" xfId="0" applyFont="1" applyFill="1" applyBorder="1"/>
    <xf numFmtId="5" fontId="15" fillId="0" borderId="1" xfId="0" applyNumberFormat="1" applyFont="1" applyBorder="1"/>
    <xf numFmtId="0" fontId="10" fillId="19" borderId="1" xfId="0" applyFont="1" applyFill="1" applyBorder="1"/>
    <xf numFmtId="10" fontId="10" fillId="13" borderId="1" xfId="0" applyNumberFormat="1" applyFont="1" applyFill="1" applyBorder="1"/>
    <xf numFmtId="10" fontId="15" fillId="20" borderId="1" xfId="0" applyNumberFormat="1" applyFont="1" applyFill="1" applyBorder="1"/>
    <xf numFmtId="0" fontId="0" fillId="21" borderId="0" xfId="0" applyFill="1"/>
    <xf numFmtId="3" fontId="9" fillId="7" borderId="1" xfId="0" applyNumberFormat="1" applyFont="1" applyFill="1" applyBorder="1"/>
    <xf numFmtId="3" fontId="11" fillId="14" borderId="1" xfId="0" applyNumberFormat="1" applyFont="1" applyFill="1" applyBorder="1"/>
    <xf numFmtId="3" fontId="9" fillId="10" borderId="1" xfId="0" applyNumberFormat="1" applyFont="1" applyFill="1" applyBorder="1"/>
    <xf numFmtId="3" fontId="11" fillId="8" borderId="1" xfId="0" applyNumberFormat="1" applyFont="1" applyFill="1" applyBorder="1"/>
    <xf numFmtId="3" fontId="12" fillId="17" borderId="1" xfId="0" applyNumberFormat="1" applyFont="1" applyFill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  <xf numFmtId="3" fontId="13" fillId="16" borderId="1" xfId="0" applyNumberFormat="1" applyFont="1" applyFill="1" applyBorder="1" applyAlignment="1">
      <alignment horizontal="right" vertical="center"/>
    </xf>
    <xf numFmtId="0" fontId="0" fillId="21" borderId="1" xfId="0" applyFill="1" applyBorder="1"/>
    <xf numFmtId="1" fontId="0" fillId="21" borderId="1" xfId="0" applyNumberFormat="1" applyFill="1" applyBorder="1"/>
    <xf numFmtId="165" fontId="0" fillId="21" borderId="1" xfId="0" applyNumberFormat="1" applyFill="1" applyBorder="1"/>
    <xf numFmtId="0" fontId="7" fillId="15" borderId="1" xfId="0" applyFont="1" applyFill="1" applyBorder="1" applyAlignment="1">
      <alignment horizontal="center"/>
    </xf>
    <xf numFmtId="165" fontId="24" fillId="23" borderId="1" xfId="0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/>
    </xf>
    <xf numFmtId="3" fontId="25" fillId="17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5" fontId="20" fillId="22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165" fontId="21" fillId="1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165" fontId="22" fillId="7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/>
    </xf>
    <xf numFmtId="10" fontId="23" fillId="20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6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0" fillId="0" borderId="0" xfId="0" applyAlignment="1"/>
    <xf numFmtId="0" fontId="6" fillId="24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13" borderId="0" xfId="0" applyFont="1" applyFill="1" applyAlignment="1">
      <alignment horizontal="center"/>
    </xf>
    <xf numFmtId="0" fontId="13" fillId="14" borderId="1" xfId="0" applyFont="1" applyFill="1" applyBorder="1"/>
    <xf numFmtId="0" fontId="6" fillId="25" borderId="1" xfId="0" applyFont="1" applyFill="1" applyBorder="1"/>
    <xf numFmtId="0" fontId="6" fillId="25" borderId="1" xfId="0" applyFont="1" applyFill="1" applyBorder="1" applyAlignment="1"/>
    <xf numFmtId="0" fontId="6" fillId="9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26" borderId="1" xfId="0" applyFont="1" applyFill="1" applyBorder="1" applyAlignment="1">
      <alignment horizontal="left"/>
    </xf>
    <xf numFmtId="10" fontId="9" fillId="26" borderId="1" xfId="0" applyNumberFormat="1" applyFont="1" applyFill="1" applyBorder="1" applyAlignment="1">
      <alignment horizontal="left"/>
    </xf>
    <xf numFmtId="10" fontId="9" fillId="0" borderId="1" xfId="0" applyNumberFormat="1" applyFont="1" applyBorder="1" applyAlignment="1">
      <alignment horizontal="left"/>
    </xf>
    <xf numFmtId="0" fontId="9" fillId="12" borderId="1" xfId="0" applyFont="1" applyFill="1" applyBorder="1" applyAlignment="1">
      <alignment horizontal="left"/>
    </xf>
    <xf numFmtId="10" fontId="9" fillId="12" borderId="1" xfId="0" applyNumberFormat="1" applyFont="1" applyFill="1" applyBorder="1" applyAlignment="1">
      <alignment horizontal="left"/>
    </xf>
    <xf numFmtId="0" fontId="6" fillId="18" borderId="1" xfId="0" applyFont="1" applyFill="1" applyBorder="1" applyAlignment="1">
      <alignment horizontal="center"/>
    </xf>
    <xf numFmtId="0" fontId="13" fillId="8" borderId="1" xfId="0" applyFont="1" applyFill="1" applyBorder="1"/>
    <xf numFmtId="0" fontId="9" fillId="22" borderId="1" xfId="0" applyFont="1" applyFill="1" applyBorder="1"/>
    <xf numFmtId="0" fontId="26" fillId="12" borderId="5" xfId="0" applyFont="1" applyFill="1" applyBorder="1" applyAlignment="1">
      <alignment horizontal="left" vertical="center" wrapText="1"/>
    </xf>
    <xf numFmtId="0" fontId="26" fillId="12" borderId="6" xfId="0" applyFont="1" applyFill="1" applyBorder="1" applyAlignment="1">
      <alignment horizontal="left" vertical="center" wrapText="1"/>
    </xf>
    <xf numFmtId="0" fontId="6" fillId="24" borderId="7" xfId="0" applyFont="1" applyFill="1" applyBorder="1" applyAlignment="1">
      <alignment horizontal="center"/>
    </xf>
    <xf numFmtId="0" fontId="6" fillId="24" borderId="0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10" fontId="9" fillId="0" borderId="1" xfId="0" applyNumberFormat="1" applyFont="1" applyBorder="1" applyAlignment="1">
      <alignment horizontal="center"/>
    </xf>
    <xf numFmtId="0" fontId="13" fillId="16" borderId="1" xfId="0" applyFont="1" applyFill="1" applyBorder="1"/>
    <xf numFmtId="0" fontId="13" fillId="16" borderId="1" xfId="0" applyFont="1" applyFill="1" applyBorder="1" applyAlignment="1">
      <alignment horizontal="center"/>
    </xf>
    <xf numFmtId="3" fontId="9" fillId="22" borderId="1" xfId="0" applyNumberFormat="1" applyFont="1" applyFill="1" applyBorder="1" applyAlignment="1">
      <alignment horizontal="center"/>
    </xf>
    <xf numFmtId="0" fontId="14" fillId="24" borderId="1" xfId="0" applyFont="1" applyFill="1" applyBorder="1" applyAlignment="1">
      <alignment horizontal="center"/>
    </xf>
    <xf numFmtId="0" fontId="12" fillId="27" borderId="1" xfId="0" applyFont="1" applyFill="1" applyBorder="1"/>
    <xf numFmtId="5" fontId="12" fillId="27" borderId="1" xfId="0" applyNumberFormat="1" applyFont="1" applyFill="1" applyBorder="1"/>
    <xf numFmtId="0" fontId="12" fillId="28" borderId="1" xfId="0" applyFont="1" applyFill="1" applyBorder="1"/>
    <xf numFmtId="5" fontId="12" fillId="28" borderId="1" xfId="0" applyNumberFormat="1" applyFont="1" applyFill="1" applyBorder="1"/>
    <xf numFmtId="0" fontId="6" fillId="18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62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2" tint="-0.89999084444715716"/>
      </font>
    </dxf>
    <dxf>
      <font>
        <color theme="2" tint="-0.89999084444715716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1" tint="0.14999847407452621"/>
      </font>
    </dxf>
    <dxf>
      <font>
        <sz val="10"/>
      </font>
    </dxf>
    <dxf>
      <font>
        <color theme="2" tint="-0.499984740745262"/>
      </font>
    </dxf>
    <dxf>
      <font>
        <name val="ADLaM Display"/>
        <scheme val="none"/>
      </font>
    </dxf>
    <dxf>
      <numFmt numFmtId="9" formatCode="&quot;$&quot;#,##0_);\(&quot;$&quot;#,##0\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ont>
        <sz val="10"/>
      </font>
    </dxf>
    <dxf>
      <font>
        <color theme="6" tint="-0.249977111117893"/>
      </font>
    </dxf>
    <dxf>
      <font>
        <color theme="1" tint="4.9989318521683403E-2"/>
      </font>
    </dxf>
    <dxf>
      <font>
        <sz val="10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name val="ADLaM Display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</font>
    </dxf>
    <dxf>
      <font>
        <color theme="1" tint="0.249977111117893"/>
      </font>
    </dxf>
    <dxf>
      <font>
        <name val="ADLaM Display"/>
        <scheme val="none"/>
      </font>
    </dxf>
    <dxf>
      <font>
        <name val="ADLaM Display"/>
        <scheme val="none"/>
      </font>
    </dxf>
    <dxf>
      <font>
        <name val="ADLaM Display"/>
        <scheme val="none"/>
      </font>
    </dxf>
    <dxf>
      <font>
        <name val="ADLaM Display"/>
        <scheme val="none"/>
      </font>
    </dxf>
    <dxf>
      <font>
        <name val="ADLaM Display"/>
        <scheme val="none"/>
      </font>
    </dxf>
    <dxf>
      <font>
        <name val="ADLaM Display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1" tint="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1" tint="0.1499984740745262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102D6"/>
      <color rgb="FFFF5050"/>
      <color rgb="FFF2F2F2"/>
      <color rgb="FFD800B9"/>
      <color rgb="FFD300D8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Net Sales by Segment</a:t>
            </a:r>
            <a:endParaRPr lang="en-US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AF-439D-80CC-2D6C554B4C7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7AF-439D-80CC-2D6C554B4C7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AF-439D-80CC-2D6C554B4C7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7AF-439D-80CC-2D6C554B4C7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AF-439D-80CC-2D6C554B4C7A}"/>
              </c:ext>
            </c:extLst>
          </c:dPt>
          <c:dLbls>
            <c:numFmt formatCode="&quot;$&quot;#,##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70C0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KPI_SUMMARY!$B$15:$B$19</c:f>
              <c:strCache>
                <c:ptCount val="5"/>
                <c:pt idx="0">
                  <c:v>Channer Partners</c:v>
                </c:pt>
                <c:pt idx="1">
                  <c:v>Mid Market</c:v>
                </c:pt>
                <c:pt idx="2">
                  <c:v>Enterprise</c:v>
                </c:pt>
                <c:pt idx="3">
                  <c:v>Small Business</c:v>
                </c:pt>
                <c:pt idx="4">
                  <c:v>Government</c:v>
                </c:pt>
              </c:strCache>
            </c:strRef>
          </c:cat>
          <c:val>
            <c:numRef>
              <c:f>KPI_SUMMARY!$C$15:$C$19</c:f>
              <c:numCache>
                <c:formatCode>"$"#,##0</c:formatCode>
                <c:ptCount val="5"/>
                <c:pt idx="0">
                  <c:v>1800593.6399999994</c:v>
                </c:pt>
                <c:pt idx="1">
                  <c:v>2381883.0750000002</c:v>
                </c:pt>
                <c:pt idx="2">
                  <c:v>19611694.375</c:v>
                </c:pt>
                <c:pt idx="3">
                  <c:v>42427918.5</c:v>
                </c:pt>
                <c:pt idx="4">
                  <c:v>52504260.670000039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F-439D-80CC-2D6C554B4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78527"/>
        <c:axId val="972972767"/>
      </c:barChart>
      <c:catAx>
        <c:axId val="9729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endParaRPr lang="en-US"/>
          </a:p>
        </c:txPr>
        <c:crossAx val="972972767"/>
        <c:crosses val="autoZero"/>
        <c:auto val="1"/>
        <c:lblAlgn val="ctr"/>
        <c:lblOffset val="100"/>
        <c:noMultiLvlLbl val="0"/>
      </c:catAx>
      <c:valAx>
        <c:axId val="972972767"/>
        <c:scaling>
          <c:orientation val="minMax"/>
        </c:scaling>
        <c:delete val="0"/>
        <c:axPos val="l"/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endParaRPr lang="en-US"/>
          </a:p>
        </c:txPr>
        <c:crossAx val="97297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Profit by Product</a:t>
            </a:r>
            <a:endParaRPr lang="en-US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solidFill>
          <a:schemeClr val="accent6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KPI_SUMMARY!$B$35:$B$40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KPI_SUMMARY!$E$35:$E$40</c:f>
              <c:numCache>
                <c:formatCode>"$"#,##0</c:formatCode>
                <c:ptCount val="6"/>
                <c:pt idx="0">
                  <c:v>4797437.9499999993</c:v>
                </c:pt>
                <c:pt idx="1">
                  <c:v>3034608.0200000005</c:v>
                </c:pt>
                <c:pt idx="2">
                  <c:v>2305992.4649999999</c:v>
                </c:pt>
                <c:pt idx="3">
                  <c:v>2814104.06</c:v>
                </c:pt>
                <c:pt idx="4">
                  <c:v>2114754.8800000004</c:v>
                </c:pt>
                <c:pt idx="5">
                  <c:v>1826804.8849999998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3-4FEF-AFB7-F057E135D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1007664"/>
        <c:axId val="1301008144"/>
      </c:barChart>
      <c:catAx>
        <c:axId val="130100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endParaRPr lang="en-US"/>
          </a:p>
        </c:txPr>
        <c:crossAx val="1301008144"/>
        <c:crosses val="autoZero"/>
        <c:auto val="1"/>
        <c:lblAlgn val="ctr"/>
        <c:lblOffset val="100"/>
        <c:noMultiLvlLbl val="0"/>
      </c:catAx>
      <c:valAx>
        <c:axId val="1301008144"/>
        <c:scaling>
          <c:orientation val="minMax"/>
        </c:scaling>
        <c:delete val="0"/>
        <c:axPos val="b"/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endParaRPr lang="en-US"/>
          </a:p>
        </c:txPr>
        <c:crossAx val="130100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Net Sales by Year</a:t>
            </a:r>
            <a:endParaRPr lang="en-US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solidFill>
          <a:schemeClr val="accent6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KPI_SUMMARY!$C$45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81-4DC9-86A9-0D49D48079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81-4DC9-86A9-0D49D48079A3}"/>
              </c:ext>
            </c:extLst>
          </c:dPt>
          <c:dLbls>
            <c:numFmt formatCode="&quot;$&quot;#,##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KPI_SUMMARY!$B$46:$B$47</c:f>
              <c:numCache>
                <c:formatCode>0</c:formatCode>
                <c:ptCount val="2"/>
                <c:pt idx="0">
                  <c:v>2013</c:v>
                </c:pt>
                <c:pt idx="1">
                  <c:v>2014</c:v>
                </c:pt>
              </c:numCache>
            </c:numRef>
          </c:cat>
          <c:val>
            <c:numRef>
              <c:f>KPI_SUMMARY!$C$46:$C$47</c:f>
              <c:numCache>
                <c:formatCode>"$"#,##0</c:formatCode>
                <c:ptCount val="2"/>
                <c:pt idx="0">
                  <c:v>26415255.510000009</c:v>
                </c:pt>
                <c:pt idx="1">
                  <c:v>92311094.749999985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1-4DC9-86A9-0D49D4807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080255"/>
        <c:axId val="16480845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KPI_SUMMARY!$B$46:$B$47</c15:sqref>
                        </c15:formulaRef>
                      </c:ext>
                    </c:extLst>
                    <c:numCache>
                      <c:formatCode>0</c:formatCode>
                      <c:ptCount val="2"/>
                      <c:pt idx="0">
                        <c:v>2013</c:v>
                      </c:pt>
                      <c:pt idx="1">
                        <c:v>2014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KPI_SUMMARY!$B$46:$C$46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 formatCode="0">
                        <c:v>2013</c:v>
                      </c:pt>
                      <c:pt idx="1">
                        <c:v>26415255.510000009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F81-4DC9-86A9-0D49D48079A3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KPI_SUMMARY!$B$46:$B$47</c15:sqref>
                        </c15:formulaRef>
                      </c:ext>
                    </c:extLst>
                    <c:numCache>
                      <c:formatCode>0</c:formatCode>
                      <c:ptCount val="2"/>
                      <c:pt idx="0">
                        <c:v>2013</c:v>
                      </c:pt>
                      <c:pt idx="1">
                        <c:v>2014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KPI_SUMMARY!$B$47:$C$47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 formatCode="0">
                        <c:v>2014</c:v>
                      </c:pt>
                      <c:pt idx="1">
                        <c:v>92311094.749999985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F81-4DC9-86A9-0D49D48079A3}"/>
                  </c:ext>
                </c:extLst>
              </c15:ser>
            </c15:filteredBarSeries>
          </c:ext>
        </c:extLst>
      </c:barChart>
      <c:catAx>
        <c:axId val="164808025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505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endParaRPr lang="en-US"/>
          </a:p>
        </c:txPr>
        <c:crossAx val="1648084575"/>
        <c:crosses val="autoZero"/>
        <c:auto val="1"/>
        <c:lblAlgn val="ctr"/>
        <c:lblOffset val="100"/>
        <c:noMultiLvlLbl val="0"/>
      </c:catAx>
      <c:valAx>
        <c:axId val="1648084575"/>
        <c:scaling>
          <c:orientation val="minMax"/>
        </c:scaling>
        <c:delete val="0"/>
        <c:axPos val="l"/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endParaRPr lang="en-US"/>
          </a:p>
        </c:txPr>
        <c:crossAx val="164808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P&amp;L Waterfall — Gross Sales to Net Profit</cx:v>
        </cx:txData>
      </cx:tx>
      <cx:spPr>
        <a:solidFill>
          <a:schemeClr val="accent1">
            <a:lumMod val="50000"/>
          </a:schemeClr>
        </a:solidFill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1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r>
            <a:rPr lang="en-US" sz="1200" b="1" i="0" u="none" strike="noStrike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P&amp;L Waterfall — Gross Sales to Net Profit</a:t>
          </a:r>
        </a:p>
      </cx:txPr>
    </cx:title>
    <cx:plotArea>
      <cx:plotAreaRegion>
        <cx:series layoutId="waterfall" uniqueId="{60241C8A-3B9E-4629-B00E-1831A74CFC10}">
          <cx:tx>
            <cx:txData>
              <cx:f>_xlchart.v1.1</cx:f>
              <cx:v>Amount</cx:v>
            </cx:txData>
          </cx:tx>
          <cx:dataPt idx="0">
            <cx:spPr>
              <a:solidFill>
                <a:srgbClr val="5B9BD5">
                  <a:lumMod val="50000"/>
                </a:srgbClr>
              </a:solidFill>
            </cx:spPr>
          </cx:dataPt>
          <cx:dataPt idx="1">
            <cx:spPr>
              <a:solidFill>
                <a:srgbClr val="C00000"/>
              </a:solidFill>
            </cx:spPr>
          </cx:dataPt>
          <cx:dataPt idx="2">
            <cx:spPr>
              <a:solidFill>
                <a:srgbClr val="5B9BD5">
                  <a:lumMod val="50000"/>
                </a:srgbClr>
              </a:solidFill>
            </cx:spPr>
          </cx:dataPt>
          <cx:dataPt idx="3">
            <cx:spPr>
              <a:solidFill>
                <a:srgbClr val="C00000"/>
              </a:solidFill>
            </cx:spPr>
          </cx:dataPt>
          <cx:dataPt idx="4">
            <cx:spPr>
              <a:solidFill>
                <a:srgbClr val="70AD47">
                  <a:lumMod val="50000"/>
                </a:srgbClr>
              </a:solidFill>
            </cx:spPr>
          </cx:dataPt>
          <cx:dataLabels pos="outEnd">
            <cx:visibility seriesName="0" categoryName="0" value="1"/>
            <cx:dataLabel idx="0">
              <cx:numFmt formatCode="$#,##0,,&quot;M&quot;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800">
                      <a:solidFill>
                        <a:srgbClr val="002060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r>
                    <a:rPr lang="en-US" sz="800" b="0" i="0" u="none" strike="noStrike" baseline="0">
                      <a:solidFill>
                        <a:srgbClr val="002060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rPr>
                    <a:t>$128M</a:t>
                  </a:r>
                </a:p>
              </cx:txPr>
              <cx:separator>, </cx:separator>
            </cx:dataLabel>
            <cx:dataLabel idx="1">
              <cx:numFmt formatCode="$#,##0,,&quot;M&quot;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800" b="0">
                      <a:solidFill>
                        <a:srgbClr val="C00000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r>
                    <a:rPr lang="en-US" sz="800" b="0" i="0" u="none" strike="noStrike" baseline="0">
                      <a:solidFill>
                        <a:srgbClr val="C00000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rPr>
                    <a:t>-$9M</a:t>
                  </a:r>
                </a:p>
              </cx:txPr>
              <cx:separator>, </cx:separator>
            </cx:dataLabel>
            <cx:dataLabel idx="2">
              <cx:numFmt formatCode="$#,##0,,&quot;M&quot;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800">
                      <a:solidFill>
                        <a:srgbClr val="002060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r>
                    <a:rPr lang="en-US" sz="800" b="0" i="0" u="none" strike="noStrike" baseline="0">
                      <a:solidFill>
                        <a:srgbClr val="002060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rPr>
                    <a:t>$119M</a:t>
                  </a:r>
                </a:p>
              </cx:txPr>
              <cx:separator>, </cx:separator>
            </cx:dataLabel>
            <cx:dataLabel idx="3">
              <cx:numFmt formatCode="$#,##0,,&quot;M&quot;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800">
                      <a:solidFill>
                        <a:srgbClr val="C00000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r>
                    <a:rPr lang="en-US" sz="800" b="0" i="0" u="none" strike="noStrike" baseline="0">
                      <a:solidFill>
                        <a:srgbClr val="C00000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rPr>
                    <a:t>-$102M</a:t>
                  </a:r>
                </a:p>
              </cx:txPr>
              <cx:separator>, </cx:separator>
            </cx:dataLabel>
            <cx:dataLabel idx="4">
              <cx:numFmt formatCode="$#,##0,,&quot;M&quot;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800">
                      <a:solidFill>
                        <a:schemeClr val="accent6">
                          <a:lumMod val="7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r>
                    <a:rPr lang="en-US" sz="800" b="0" i="0" u="none" strike="noStrike" baseline="0">
                      <a:solidFill>
                        <a:schemeClr val="accent6">
                          <a:lumMod val="7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rPr>
                    <a:t>$17M</a:t>
                  </a:r>
                </a:p>
              </cx:txPr>
              <cx:separator>, </cx:separator>
            </cx:dataLabel>
          </cx:dataLabels>
          <cx:dataId val="0"/>
          <cx:layoutPr>
            <cx:subtotals>
              <cx:idx val="2"/>
              <cx:idx val="4"/>
            </cx:subtotals>
          </cx:layoutPr>
        </cx:series>
      </cx:plotAreaRegion>
      <cx:axis id="0">
        <cx:catScaling gapWidth="0.600000024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 b="0">
                <a:solidFill>
                  <a:schemeClr val="tx2">
                    <a:lumMod val="50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endParaRPr lang="en-US" sz="800" b="0" i="0" u="none" strike="noStrike" baseline="0">
              <a:solidFill>
                <a:schemeClr val="tx2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x:txPr>
      </cx:axis>
      <cx:axis id="1">
        <cx:valScaling/>
        <cx:tickLabels/>
        <cx:numFmt formatCode="$#,##0,,&quot;M&quot;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 b="0">
                <a:solidFill>
                  <a:schemeClr val="accent6">
                    <a:lumMod val="50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endParaRPr lang="en-US" sz="800" b="0" i="0" u="none" strike="noStrike" baseline="0">
              <a:solidFill>
                <a:schemeClr val="accent6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x:txPr>
      </cx:axis>
    </cx:plotArea>
  </cx:chart>
  <cx:spPr>
    <a:solidFill>
      <a:srgbClr val="F2F2F2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16932</xdr:colOff>
      <xdr:row>24</xdr:row>
      <xdr:rowOff>21166</xdr:rowOff>
    </xdr:from>
    <xdr:to>
      <xdr:col>5</xdr:col>
      <xdr:colOff>0</xdr:colOff>
      <xdr:row>31</xdr:row>
      <xdr:rowOff>119944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D8A7B515-206D-46C4-EDF6-4940138575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710" y="4677833"/>
              <a:ext cx="4378679" cy="13828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6</xdr:row>
      <xdr:rowOff>127000</xdr:rowOff>
    </xdr:from>
    <xdr:to>
      <xdr:col>9</xdr:col>
      <xdr:colOff>0</xdr:colOff>
      <xdr:row>12</xdr:row>
      <xdr:rowOff>374650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B3C8B48-1705-6444-1BE8-EADFE7F110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325" y="1784350"/>
              <a:ext cx="3616325" cy="291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206374</xdr:colOff>
      <xdr:row>6</xdr:row>
      <xdr:rowOff>101600</xdr:rowOff>
    </xdr:from>
    <xdr:to>
      <xdr:col>20</xdr:col>
      <xdr:colOff>501650</xdr:colOff>
      <xdr:row>12</xdr:row>
      <xdr:rowOff>419100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3949798-C1DF-9D36-140D-1D099D3DE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13</xdr:row>
      <xdr:rowOff>25400</xdr:rowOff>
    </xdr:from>
    <xdr:to>
      <xdr:col>10</xdr:col>
      <xdr:colOff>387350</xdr:colOff>
      <xdr:row>19</xdr:row>
      <xdr:rowOff>101600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70F9BC9E-74D3-9D67-F3D8-06CA719BE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120650</xdr:colOff>
      <xdr:row>13</xdr:row>
      <xdr:rowOff>38100</xdr:rowOff>
    </xdr:from>
    <xdr:to>
      <xdr:col>21</xdr:col>
      <xdr:colOff>355600</xdr:colOff>
      <xdr:row>19</xdr:row>
      <xdr:rowOff>419100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AC331D-1D64-6FE9-C8A4-A8FD26017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0.42747</cdr:x>
      <cdr:y>0.93968</cdr:y>
    </cdr:from>
    <cdr:to>
      <cdr:x>0.63415</cdr:x>
      <cdr:y>0.97448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0F140CC-0842-7EDC-0962-E142E6378D36}"/>
            </a:ext>
          </a:extLst>
        </cdr:cNvPr>
        <cdr:cNvSpPr txBox="1"/>
      </cdr:nvSpPr>
      <cdr:spPr>
        <a:xfrm xmlns:a="http://schemas.openxmlformats.org/drawingml/2006/main">
          <a:off x="2114550" y="2571750"/>
          <a:ext cx="1022350" cy="95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0.19127</cdr:x>
      <cdr:y>0.48333</cdr:y>
    </cdr:from>
    <cdr:to>
      <cdr:x>0.4801</cdr:x>
      <cdr:y>0.60625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85CFEE3-7AC6-2437-FBBC-2293AEF09E0F}"/>
            </a:ext>
          </a:extLst>
        </cdr:cNvPr>
        <cdr:cNvSpPr txBox="1"/>
      </cdr:nvSpPr>
      <cdr:spPr>
        <a:xfrm xmlns:a="http://schemas.openxmlformats.org/drawingml/2006/main">
          <a:off x="946150" y="1473200"/>
          <a:ext cx="1428750" cy="3746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>
          <a:solidFill>
            <a:schemeClr val="tx2">
              <a:lumMod val="50000"/>
              <a:alpha val="63000"/>
            </a:schemeClr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kern="1200">
              <a:solidFill>
                <a:srgbClr val="FF5050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⚠️ 2013 = Sep-Dec only</a:t>
          </a:r>
        </a:p>
        <a:p xmlns:a="http://schemas.openxmlformats.org/drawingml/2006/main">
          <a:r>
            <a:rPr lang="en-US" sz="800" kern="1200">
              <a:solidFill>
                <a:srgbClr val="FF5050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  (4 months of data)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0.843333449076" createdVersion="8" refreshedVersion="8" minRefreshableVersion="3" recordCount="700" xr:uid="{9DEAD57F-B625-47AE-B7BC-E1F8947BF74F}">
  <cacheSource type="worksheet">
    <worksheetSource name="financials3"/>
  </cacheSource>
  <cacheFields count="21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44">
      <sharedItems count="6">
        <s v="Carretera"/>
        <s v="Montana"/>
        <s v="Paseo"/>
        <s v="Velo"/>
        <s v="VTT"/>
        <s v="Amarilla"/>
      </sharedItems>
    </cacheField>
    <cacheField name="Discount Band" numFmtId="44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44">
      <sharedItems containsSemiMixedTypes="0" containsString="0" containsNumber="1" containsInteger="1" minValue="3" maxValue="260"/>
    </cacheField>
    <cacheField name="Sale Price" numFmtId="44">
      <sharedItems containsSemiMixedTypes="0" containsString="0" containsNumber="1" containsInteger="1" minValue="7" maxValue="350"/>
    </cacheField>
    <cacheField name="Gross Sales" numFmtId="44">
      <sharedItems containsSemiMixedTypes="0" containsString="0" containsNumber="1" minValue="1799" maxValue="1207500"/>
    </cacheField>
    <cacheField name="Discounts" numFmtId="44">
      <sharedItems containsSemiMixedTypes="0" containsString="0" containsNumber="1" minValue="0" maxValue="149677.5"/>
    </cacheField>
    <cacheField name="Sales" numFmtId="44">
      <sharedItems containsSemiMixedTypes="0" containsString="0" containsNumber="1" minValue="1655.08" maxValue="1159200"/>
    </cacheField>
    <cacheField name="COGS" numFmtId="44">
      <sharedItems containsSemiMixedTypes="0" containsString="0" containsNumber="1" minValue="918" maxValue="950625"/>
    </cacheField>
    <cacheField name="Profit" numFmtId="4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</cacheField>
    <cacheField name="Month Number" numFmtId="1">
      <sharedItems containsSemiMixedTypes="0" containsString="0" containsNumber="1" containsInteger="1" minValue="1" maxValue="12"/>
    </cacheField>
    <cacheField name="Month Name" numFmtId="44">
      <sharedItems/>
    </cacheField>
    <cacheField name="Year" numFmtId="49">
      <sharedItems count="2">
        <s v="2014"/>
        <s v="2013"/>
      </sharedItems>
    </cacheField>
    <cacheField name="Profit_Margin_%" numFmtId="9">
      <sharedItems containsSemiMixedTypes="0" containsString="0" containsNumber="1" minValue="-0.12941176470588237" maxValue="0.75"/>
    </cacheField>
    <cacheField name="Discount_Pct" numFmtId="9">
      <sharedItems containsSemiMixedTypes="0" containsString="0" containsNumber="1" minValue="0" maxValue="0.15000000000000002"/>
    </cacheField>
    <cacheField name="Sales_Category" numFmtId="44">
      <sharedItems/>
    </cacheField>
    <cacheField name="COGS_Pct" numFmtId="9">
      <sharedItems containsSemiMixedTypes="0" containsString="0" containsNumber="1" minValue="0.25" maxValue="1.1294117647058823"/>
    </cacheField>
    <cacheField name="Profit_Flag" numFmtId="44">
      <sharedItems/>
    </cacheField>
  </cacheFields>
  <extLst>
    <ext xmlns:x14="http://schemas.microsoft.com/office/spreadsheetml/2009/9/main" uri="{725AE2AE-9491-48be-B2B4-4EB974FC3084}">
      <x14:pivotCacheDefinition pivotCacheId="8737628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1618.5"/>
    <n v="3"/>
    <n v="20"/>
    <n v="32370"/>
    <n v="0"/>
    <n v="32370"/>
    <n v="16185"/>
    <n v="16185"/>
    <x v="0"/>
    <n v="1"/>
    <s v="January"/>
    <x v="0"/>
    <n v="0.5"/>
    <n v="0"/>
    <s v="Medium"/>
    <n v="0.5"/>
    <s v="Profitable ✅"/>
  </r>
  <r>
    <x v="0"/>
    <x v="1"/>
    <x v="0"/>
    <x v="0"/>
    <n v="1321"/>
    <n v="3"/>
    <n v="20"/>
    <n v="26420"/>
    <n v="0"/>
    <n v="26420"/>
    <n v="13210"/>
    <n v="13210"/>
    <x v="0"/>
    <n v="1"/>
    <s v="January"/>
    <x v="0"/>
    <n v="0.5"/>
    <n v="0"/>
    <s v="Medium"/>
    <n v="0.5"/>
    <s v="Profitable ✅"/>
  </r>
  <r>
    <x v="1"/>
    <x v="2"/>
    <x v="0"/>
    <x v="0"/>
    <n v="2178"/>
    <n v="3"/>
    <n v="15"/>
    <n v="32670"/>
    <n v="0"/>
    <n v="32670"/>
    <n v="21780"/>
    <n v="10890"/>
    <x v="1"/>
    <n v="6"/>
    <s v="June"/>
    <x v="0"/>
    <n v="0.33333333333333331"/>
    <n v="0"/>
    <s v="Medium"/>
    <n v="0.66666666666666663"/>
    <s v="Profitable ✅"/>
  </r>
  <r>
    <x v="1"/>
    <x v="1"/>
    <x v="0"/>
    <x v="0"/>
    <n v="888"/>
    <n v="3"/>
    <n v="15"/>
    <n v="13320"/>
    <n v="0"/>
    <n v="13320"/>
    <n v="8880"/>
    <n v="4440"/>
    <x v="1"/>
    <n v="6"/>
    <s v="June"/>
    <x v="0"/>
    <n v="0.33333333333333331"/>
    <n v="0"/>
    <s v="Medium"/>
    <n v="0.66666666666666663"/>
    <s v="Profitable ✅"/>
  </r>
  <r>
    <x v="1"/>
    <x v="3"/>
    <x v="0"/>
    <x v="0"/>
    <n v="2470"/>
    <n v="3"/>
    <n v="15"/>
    <n v="37050"/>
    <n v="0"/>
    <n v="37050"/>
    <n v="24700"/>
    <n v="12350"/>
    <x v="1"/>
    <n v="6"/>
    <s v="June"/>
    <x v="0"/>
    <n v="0.33333333333333331"/>
    <n v="0"/>
    <s v="Medium"/>
    <n v="0.66666666666666663"/>
    <s v="Profitable ✅"/>
  </r>
  <r>
    <x v="0"/>
    <x v="1"/>
    <x v="0"/>
    <x v="0"/>
    <n v="1513"/>
    <n v="3"/>
    <n v="350"/>
    <n v="529550"/>
    <n v="0"/>
    <n v="529550"/>
    <n v="393380"/>
    <n v="136170"/>
    <x v="2"/>
    <n v="12"/>
    <s v="December"/>
    <x v="0"/>
    <n v="0.25714285714285712"/>
    <n v="0"/>
    <s v="Enterprise"/>
    <n v="0.74285714285714288"/>
    <s v="Profitable ✅"/>
  </r>
  <r>
    <x v="1"/>
    <x v="1"/>
    <x v="1"/>
    <x v="0"/>
    <n v="921"/>
    <n v="5"/>
    <n v="15"/>
    <n v="13815"/>
    <n v="0"/>
    <n v="13815"/>
    <n v="9210"/>
    <n v="4605"/>
    <x v="3"/>
    <n v="3"/>
    <s v="March"/>
    <x v="0"/>
    <n v="0.33333333333333331"/>
    <n v="0"/>
    <s v="Medium"/>
    <n v="0.66666666666666663"/>
    <s v="Profitable ✅"/>
  </r>
  <r>
    <x v="2"/>
    <x v="0"/>
    <x v="1"/>
    <x v="0"/>
    <n v="2518"/>
    <n v="5"/>
    <n v="12"/>
    <n v="30216"/>
    <n v="0"/>
    <n v="30216"/>
    <n v="7554"/>
    <n v="22662"/>
    <x v="1"/>
    <n v="6"/>
    <s v="June"/>
    <x v="0"/>
    <n v="0.75"/>
    <n v="0"/>
    <s v="Medium"/>
    <n v="0.25"/>
    <s v="Profitable ✅"/>
  </r>
  <r>
    <x v="0"/>
    <x v="2"/>
    <x v="1"/>
    <x v="0"/>
    <n v="1899"/>
    <n v="5"/>
    <n v="20"/>
    <n v="37980"/>
    <n v="0"/>
    <n v="37980"/>
    <n v="18990"/>
    <n v="18990"/>
    <x v="1"/>
    <n v="6"/>
    <s v="June"/>
    <x v="0"/>
    <n v="0.5"/>
    <n v="0"/>
    <s v="Medium"/>
    <n v="0.5"/>
    <s v="Profitable ✅"/>
  </r>
  <r>
    <x v="2"/>
    <x v="1"/>
    <x v="1"/>
    <x v="0"/>
    <n v="1545"/>
    <n v="5"/>
    <n v="12"/>
    <n v="18540"/>
    <n v="0"/>
    <n v="18540"/>
    <n v="4635"/>
    <n v="13905"/>
    <x v="1"/>
    <n v="6"/>
    <s v="June"/>
    <x v="0"/>
    <n v="0.75"/>
    <n v="0"/>
    <s v="Medium"/>
    <n v="0.25"/>
    <s v="Profitable ✅"/>
  </r>
  <r>
    <x v="1"/>
    <x v="3"/>
    <x v="1"/>
    <x v="0"/>
    <n v="2470"/>
    <n v="5"/>
    <n v="15"/>
    <n v="37050"/>
    <n v="0"/>
    <n v="37050"/>
    <n v="24700"/>
    <n v="12350"/>
    <x v="1"/>
    <n v="6"/>
    <s v="June"/>
    <x v="0"/>
    <n v="0.33333333333333331"/>
    <n v="0"/>
    <s v="Medium"/>
    <n v="0.66666666666666663"/>
    <s v="Profitable ✅"/>
  </r>
  <r>
    <x v="3"/>
    <x v="0"/>
    <x v="1"/>
    <x v="0"/>
    <n v="2665.5"/>
    <n v="5"/>
    <n v="125"/>
    <n v="333187.5"/>
    <n v="0"/>
    <n v="333187.5"/>
    <n v="319860"/>
    <n v="13327.5"/>
    <x v="4"/>
    <n v="7"/>
    <s v="July"/>
    <x v="0"/>
    <n v="0.04"/>
    <n v="0"/>
    <s v="Enterprise"/>
    <n v="0.96"/>
    <s v="Profitable ✅"/>
  </r>
  <r>
    <x v="4"/>
    <x v="3"/>
    <x v="1"/>
    <x v="0"/>
    <n v="958"/>
    <n v="5"/>
    <n v="300"/>
    <n v="287400"/>
    <n v="0"/>
    <n v="287400"/>
    <n v="239500"/>
    <n v="47900"/>
    <x v="5"/>
    <n v="8"/>
    <s v="August"/>
    <x v="0"/>
    <n v="0.16666666666666666"/>
    <n v="0"/>
    <s v="Enterprise"/>
    <n v="0.83333333333333337"/>
    <s v="Profitable ✅"/>
  </r>
  <r>
    <x v="0"/>
    <x v="1"/>
    <x v="1"/>
    <x v="0"/>
    <n v="2146"/>
    <n v="5"/>
    <n v="7"/>
    <n v="15022"/>
    <n v="0"/>
    <n v="15022"/>
    <n v="10730"/>
    <n v="4292"/>
    <x v="6"/>
    <n v="9"/>
    <s v="September"/>
    <x v="0"/>
    <n v="0.2857142857142857"/>
    <n v="0"/>
    <s v="Medium"/>
    <n v="0.7142857142857143"/>
    <s v="Profitable ✅"/>
  </r>
  <r>
    <x v="3"/>
    <x v="0"/>
    <x v="1"/>
    <x v="0"/>
    <n v="345"/>
    <n v="5"/>
    <n v="125"/>
    <n v="43125"/>
    <n v="0"/>
    <n v="43125"/>
    <n v="41400"/>
    <n v="1725"/>
    <x v="7"/>
    <n v="10"/>
    <s v="October"/>
    <x v="1"/>
    <n v="0.04"/>
    <n v="0"/>
    <s v="Medium"/>
    <n v="0.96"/>
    <s v="Profitable ✅"/>
  </r>
  <r>
    <x v="1"/>
    <x v="4"/>
    <x v="1"/>
    <x v="0"/>
    <n v="615"/>
    <n v="5"/>
    <n v="15"/>
    <n v="9225"/>
    <n v="0"/>
    <n v="9225"/>
    <n v="6150"/>
    <n v="3075"/>
    <x v="2"/>
    <n v="12"/>
    <s v="December"/>
    <x v="0"/>
    <n v="0.33333333333333331"/>
    <n v="0"/>
    <s v="Small"/>
    <n v="0.66666666666666663"/>
    <s v="Profitable ✅"/>
  </r>
  <r>
    <x v="0"/>
    <x v="0"/>
    <x v="2"/>
    <x v="0"/>
    <n v="292"/>
    <n v="10"/>
    <n v="20"/>
    <n v="5840"/>
    <n v="0"/>
    <n v="5840"/>
    <n v="2920"/>
    <n v="2920"/>
    <x v="8"/>
    <n v="2"/>
    <s v="February"/>
    <x v="0"/>
    <n v="0.5"/>
    <n v="0"/>
    <s v="Small"/>
    <n v="0.5"/>
    <s v="Profitable ✅"/>
  </r>
  <r>
    <x v="1"/>
    <x v="3"/>
    <x v="2"/>
    <x v="0"/>
    <n v="974"/>
    <n v="10"/>
    <n v="15"/>
    <n v="14610"/>
    <n v="0"/>
    <n v="14610"/>
    <n v="9740"/>
    <n v="4870"/>
    <x v="8"/>
    <n v="2"/>
    <s v="February"/>
    <x v="0"/>
    <n v="0.33333333333333331"/>
    <n v="0"/>
    <s v="Medium"/>
    <n v="0.66666666666666663"/>
    <s v="Profitable ✅"/>
  </r>
  <r>
    <x v="2"/>
    <x v="0"/>
    <x v="2"/>
    <x v="0"/>
    <n v="2518"/>
    <n v="10"/>
    <n v="12"/>
    <n v="30216"/>
    <n v="0"/>
    <n v="30216"/>
    <n v="7554"/>
    <n v="22662"/>
    <x v="1"/>
    <n v="6"/>
    <s v="June"/>
    <x v="0"/>
    <n v="0.75"/>
    <n v="0"/>
    <s v="Medium"/>
    <n v="0.25"/>
    <s v="Profitable ✅"/>
  </r>
  <r>
    <x v="0"/>
    <x v="1"/>
    <x v="2"/>
    <x v="0"/>
    <n v="1006"/>
    <n v="10"/>
    <n v="350"/>
    <n v="352100"/>
    <n v="0"/>
    <n v="352100"/>
    <n v="261560"/>
    <n v="90540"/>
    <x v="1"/>
    <n v="6"/>
    <s v="June"/>
    <x v="0"/>
    <n v="0.25714285714285712"/>
    <n v="0"/>
    <s v="Enterprise"/>
    <n v="0.74285714285714288"/>
    <s v="Profitable ✅"/>
  </r>
  <r>
    <x v="2"/>
    <x v="1"/>
    <x v="2"/>
    <x v="0"/>
    <n v="367"/>
    <n v="10"/>
    <n v="12"/>
    <n v="4404"/>
    <n v="0"/>
    <n v="4404"/>
    <n v="1101"/>
    <n v="3303"/>
    <x v="4"/>
    <n v="7"/>
    <s v="July"/>
    <x v="0"/>
    <n v="0.75"/>
    <n v="0"/>
    <s v="Small"/>
    <n v="0.25"/>
    <s v="Profitable ✅"/>
  </r>
  <r>
    <x v="0"/>
    <x v="3"/>
    <x v="2"/>
    <x v="0"/>
    <n v="883"/>
    <n v="10"/>
    <n v="7"/>
    <n v="6181"/>
    <n v="0"/>
    <n v="6181"/>
    <n v="4415"/>
    <n v="1766"/>
    <x v="5"/>
    <n v="8"/>
    <s v="August"/>
    <x v="0"/>
    <n v="0.2857142857142857"/>
    <n v="0"/>
    <s v="Small"/>
    <n v="0.7142857142857143"/>
    <s v="Profitable ✅"/>
  </r>
  <r>
    <x v="1"/>
    <x v="2"/>
    <x v="2"/>
    <x v="0"/>
    <n v="549"/>
    <n v="10"/>
    <n v="15"/>
    <n v="8235"/>
    <n v="0"/>
    <n v="8235"/>
    <n v="5490"/>
    <n v="2745"/>
    <x v="9"/>
    <n v="9"/>
    <s v="September"/>
    <x v="1"/>
    <n v="0.33333333333333331"/>
    <n v="0"/>
    <s v="Small"/>
    <n v="0.66666666666666663"/>
    <s v="Profitable ✅"/>
  </r>
  <r>
    <x v="4"/>
    <x v="3"/>
    <x v="2"/>
    <x v="0"/>
    <n v="788"/>
    <n v="10"/>
    <n v="300"/>
    <n v="236400"/>
    <n v="0"/>
    <n v="236400"/>
    <n v="197000"/>
    <n v="39400"/>
    <x v="9"/>
    <n v="9"/>
    <s v="September"/>
    <x v="1"/>
    <n v="0.16666666666666666"/>
    <n v="0"/>
    <s v="Enterprise"/>
    <n v="0.83333333333333337"/>
    <s v="Profitable ✅"/>
  </r>
  <r>
    <x v="1"/>
    <x v="3"/>
    <x v="2"/>
    <x v="0"/>
    <n v="2472"/>
    <n v="10"/>
    <n v="15"/>
    <n v="37080"/>
    <n v="0"/>
    <n v="37080"/>
    <n v="24720"/>
    <n v="12360"/>
    <x v="6"/>
    <n v="9"/>
    <s v="September"/>
    <x v="0"/>
    <n v="0.33333333333333331"/>
    <n v="0"/>
    <s v="Medium"/>
    <n v="0.66666666666666663"/>
    <s v="Profitable ✅"/>
  </r>
  <r>
    <x v="0"/>
    <x v="4"/>
    <x v="2"/>
    <x v="0"/>
    <n v="1143"/>
    <n v="10"/>
    <n v="7"/>
    <n v="8001"/>
    <n v="0"/>
    <n v="8001"/>
    <n v="5715"/>
    <n v="2286"/>
    <x v="10"/>
    <n v="10"/>
    <s v="October"/>
    <x v="0"/>
    <n v="0.2857142857142857"/>
    <n v="0"/>
    <s v="Small"/>
    <n v="0.7142857142857143"/>
    <s v="Profitable ✅"/>
  </r>
  <r>
    <x v="0"/>
    <x v="0"/>
    <x v="2"/>
    <x v="0"/>
    <n v="1725"/>
    <n v="10"/>
    <n v="350"/>
    <n v="603750"/>
    <n v="0"/>
    <n v="603750"/>
    <n v="448500"/>
    <n v="155250"/>
    <x v="11"/>
    <n v="11"/>
    <s v="November"/>
    <x v="1"/>
    <n v="0.25714285714285712"/>
    <n v="0"/>
    <s v="Enterprise"/>
    <n v="0.74285714285714288"/>
    <s v="Profitable ✅"/>
  </r>
  <r>
    <x v="2"/>
    <x v="4"/>
    <x v="2"/>
    <x v="0"/>
    <n v="912"/>
    <n v="10"/>
    <n v="12"/>
    <n v="10944"/>
    <n v="0"/>
    <n v="10944"/>
    <n v="2736"/>
    <n v="8208"/>
    <x v="11"/>
    <n v="11"/>
    <s v="November"/>
    <x v="1"/>
    <n v="0.75"/>
    <n v="0"/>
    <s v="Medium"/>
    <n v="0.25"/>
    <s v="Profitable ✅"/>
  </r>
  <r>
    <x v="1"/>
    <x v="0"/>
    <x v="2"/>
    <x v="0"/>
    <n v="2152"/>
    <n v="10"/>
    <n v="15"/>
    <n v="32280"/>
    <n v="0"/>
    <n v="32280"/>
    <n v="21520"/>
    <n v="10760"/>
    <x v="12"/>
    <n v="12"/>
    <s v="December"/>
    <x v="1"/>
    <n v="0.33333333333333331"/>
    <n v="0"/>
    <s v="Medium"/>
    <n v="0.66666666666666663"/>
    <s v="Profitable ✅"/>
  </r>
  <r>
    <x v="0"/>
    <x v="0"/>
    <x v="2"/>
    <x v="0"/>
    <n v="1817"/>
    <n v="10"/>
    <n v="20"/>
    <n v="36340"/>
    <n v="0"/>
    <n v="36340"/>
    <n v="18170"/>
    <n v="18170"/>
    <x v="2"/>
    <n v="12"/>
    <s v="December"/>
    <x v="0"/>
    <n v="0.5"/>
    <n v="0"/>
    <s v="Medium"/>
    <n v="0.5"/>
    <s v="Profitable ✅"/>
  </r>
  <r>
    <x v="0"/>
    <x v="1"/>
    <x v="2"/>
    <x v="0"/>
    <n v="1513"/>
    <n v="10"/>
    <n v="350"/>
    <n v="529550"/>
    <n v="0"/>
    <n v="529550"/>
    <n v="393380"/>
    <n v="136170"/>
    <x v="2"/>
    <n v="12"/>
    <s v="December"/>
    <x v="0"/>
    <n v="0.25714285714285712"/>
    <n v="0"/>
    <s v="Enterprise"/>
    <n v="0.74285714285714288"/>
    <s v="Profitable ✅"/>
  </r>
  <r>
    <x v="0"/>
    <x v="3"/>
    <x v="3"/>
    <x v="0"/>
    <n v="1493"/>
    <n v="120"/>
    <n v="7"/>
    <n v="10451"/>
    <n v="0"/>
    <n v="10451"/>
    <n v="7465"/>
    <n v="2986"/>
    <x v="0"/>
    <n v="1"/>
    <s v="January"/>
    <x v="0"/>
    <n v="0.2857142857142857"/>
    <n v="0"/>
    <s v="Medium"/>
    <n v="0.7142857142857143"/>
    <s v="Profitable ✅"/>
  </r>
  <r>
    <x v="3"/>
    <x v="2"/>
    <x v="3"/>
    <x v="0"/>
    <n v="1804"/>
    <n v="120"/>
    <n v="125"/>
    <n v="225500"/>
    <n v="0"/>
    <n v="225500"/>
    <n v="216480"/>
    <n v="9020"/>
    <x v="8"/>
    <n v="2"/>
    <s v="February"/>
    <x v="0"/>
    <n v="0.04"/>
    <n v="0"/>
    <s v="Enterprise"/>
    <n v="0.96"/>
    <s v="Profitable ✅"/>
  </r>
  <r>
    <x v="2"/>
    <x v="1"/>
    <x v="3"/>
    <x v="0"/>
    <n v="2161"/>
    <n v="120"/>
    <n v="12"/>
    <n v="25932"/>
    <n v="0"/>
    <n v="25932"/>
    <n v="6483"/>
    <n v="19449"/>
    <x v="3"/>
    <n v="3"/>
    <s v="March"/>
    <x v="0"/>
    <n v="0.75"/>
    <n v="0"/>
    <s v="Medium"/>
    <n v="0.25"/>
    <s v="Profitable ✅"/>
  </r>
  <r>
    <x v="0"/>
    <x v="1"/>
    <x v="3"/>
    <x v="0"/>
    <n v="1006"/>
    <n v="120"/>
    <n v="350"/>
    <n v="352100"/>
    <n v="0"/>
    <n v="352100"/>
    <n v="261560"/>
    <n v="90540"/>
    <x v="1"/>
    <n v="6"/>
    <s v="June"/>
    <x v="0"/>
    <n v="0.25714285714285712"/>
    <n v="0"/>
    <s v="Enterprise"/>
    <n v="0.74285714285714288"/>
    <s v="Profitable ✅"/>
  </r>
  <r>
    <x v="2"/>
    <x v="1"/>
    <x v="3"/>
    <x v="0"/>
    <n v="1545"/>
    <n v="120"/>
    <n v="12"/>
    <n v="18540"/>
    <n v="0"/>
    <n v="18540"/>
    <n v="4635"/>
    <n v="13905"/>
    <x v="1"/>
    <n v="6"/>
    <s v="June"/>
    <x v="0"/>
    <n v="0.75"/>
    <n v="0"/>
    <s v="Medium"/>
    <n v="0.25"/>
    <s v="Profitable ✅"/>
  </r>
  <r>
    <x v="3"/>
    <x v="4"/>
    <x v="3"/>
    <x v="0"/>
    <n v="2821"/>
    <n v="120"/>
    <n v="125"/>
    <n v="352625"/>
    <n v="0"/>
    <n v="352625"/>
    <n v="338520"/>
    <n v="14105"/>
    <x v="5"/>
    <n v="8"/>
    <s v="August"/>
    <x v="0"/>
    <n v="0.04"/>
    <n v="0"/>
    <s v="Enterprise"/>
    <n v="0.96"/>
    <s v="Profitable ✅"/>
  </r>
  <r>
    <x v="3"/>
    <x v="0"/>
    <x v="3"/>
    <x v="0"/>
    <n v="345"/>
    <n v="120"/>
    <n v="125"/>
    <n v="43125"/>
    <n v="0"/>
    <n v="43125"/>
    <n v="41400"/>
    <n v="1725"/>
    <x v="7"/>
    <n v="10"/>
    <s v="October"/>
    <x v="1"/>
    <n v="0.04"/>
    <n v="0"/>
    <s v="Medium"/>
    <n v="0.96"/>
    <s v="Profitable ✅"/>
  </r>
  <r>
    <x v="4"/>
    <x v="0"/>
    <x v="4"/>
    <x v="0"/>
    <n v="2001"/>
    <n v="250"/>
    <n v="300"/>
    <n v="600300"/>
    <n v="0"/>
    <n v="600300"/>
    <n v="500250"/>
    <n v="100050"/>
    <x v="8"/>
    <n v="2"/>
    <s v="February"/>
    <x v="0"/>
    <n v="0.16666666666666666"/>
    <n v="0"/>
    <s v="Enterprise"/>
    <n v="0.83333333333333337"/>
    <s v="Profitable ✅"/>
  </r>
  <r>
    <x v="2"/>
    <x v="1"/>
    <x v="4"/>
    <x v="0"/>
    <n v="2838"/>
    <n v="250"/>
    <n v="12"/>
    <n v="34056"/>
    <n v="0"/>
    <n v="34056"/>
    <n v="8514"/>
    <n v="25542"/>
    <x v="13"/>
    <n v="4"/>
    <s v="April"/>
    <x v="0"/>
    <n v="0.75"/>
    <n v="0"/>
    <s v="Medium"/>
    <n v="0.25"/>
    <s v="Profitable ✅"/>
  </r>
  <r>
    <x v="1"/>
    <x v="2"/>
    <x v="4"/>
    <x v="0"/>
    <n v="2178"/>
    <n v="250"/>
    <n v="15"/>
    <n v="32670"/>
    <n v="0"/>
    <n v="32670"/>
    <n v="21780"/>
    <n v="10890"/>
    <x v="1"/>
    <n v="6"/>
    <s v="June"/>
    <x v="0"/>
    <n v="0.33333333333333331"/>
    <n v="0"/>
    <s v="Medium"/>
    <n v="0.66666666666666663"/>
    <s v="Profitable ✅"/>
  </r>
  <r>
    <x v="1"/>
    <x v="1"/>
    <x v="4"/>
    <x v="0"/>
    <n v="888"/>
    <n v="250"/>
    <n v="15"/>
    <n v="13320"/>
    <n v="0"/>
    <n v="13320"/>
    <n v="8880"/>
    <n v="4440"/>
    <x v="1"/>
    <n v="6"/>
    <s v="June"/>
    <x v="0"/>
    <n v="0.33333333333333331"/>
    <n v="0"/>
    <s v="Medium"/>
    <n v="0.66666666666666663"/>
    <s v="Profitable ✅"/>
  </r>
  <r>
    <x v="0"/>
    <x v="2"/>
    <x v="4"/>
    <x v="0"/>
    <n v="1527"/>
    <n v="250"/>
    <n v="350"/>
    <n v="534450"/>
    <n v="0"/>
    <n v="534450"/>
    <n v="397020"/>
    <n v="137430"/>
    <x v="9"/>
    <n v="9"/>
    <s v="September"/>
    <x v="1"/>
    <n v="0.25714285714285712"/>
    <n v="0"/>
    <s v="Enterprise"/>
    <n v="0.74285714285714288"/>
    <s v="Profitable ✅"/>
  </r>
  <r>
    <x v="4"/>
    <x v="2"/>
    <x v="4"/>
    <x v="0"/>
    <n v="2151"/>
    <n v="250"/>
    <n v="300"/>
    <n v="645300"/>
    <n v="0"/>
    <n v="645300"/>
    <n v="537750"/>
    <n v="107550"/>
    <x v="6"/>
    <n v="9"/>
    <s v="September"/>
    <x v="0"/>
    <n v="0.16666666666666666"/>
    <n v="0"/>
    <s v="Enterprise"/>
    <n v="0.83333333333333337"/>
    <s v="Profitable ✅"/>
  </r>
  <r>
    <x v="0"/>
    <x v="0"/>
    <x v="4"/>
    <x v="0"/>
    <n v="1817"/>
    <n v="250"/>
    <n v="20"/>
    <n v="36340"/>
    <n v="0"/>
    <n v="36340"/>
    <n v="18170"/>
    <n v="18170"/>
    <x v="2"/>
    <n v="12"/>
    <s v="December"/>
    <x v="0"/>
    <n v="0.5"/>
    <n v="0"/>
    <s v="Medium"/>
    <n v="0.5"/>
    <s v="Profitable ✅"/>
  </r>
  <r>
    <x v="0"/>
    <x v="2"/>
    <x v="5"/>
    <x v="0"/>
    <n v="2750"/>
    <n v="260"/>
    <n v="350"/>
    <n v="962500"/>
    <n v="0"/>
    <n v="962500"/>
    <n v="715000"/>
    <n v="247500"/>
    <x v="8"/>
    <n v="2"/>
    <s v="February"/>
    <x v="0"/>
    <n v="0.25714285714285712"/>
    <n v="0"/>
    <s v="Enterprise"/>
    <n v="0.74285714285714288"/>
    <s v="Profitable ✅"/>
  </r>
  <r>
    <x v="2"/>
    <x v="4"/>
    <x v="5"/>
    <x v="0"/>
    <n v="1953"/>
    <n v="260"/>
    <n v="12"/>
    <n v="23436"/>
    <n v="0"/>
    <n v="23436"/>
    <n v="5859"/>
    <n v="17577"/>
    <x v="13"/>
    <n v="4"/>
    <s v="April"/>
    <x v="0"/>
    <n v="0.75"/>
    <n v="0"/>
    <s v="Medium"/>
    <n v="0.25"/>
    <s v="Profitable ✅"/>
  </r>
  <r>
    <x v="3"/>
    <x v="1"/>
    <x v="5"/>
    <x v="0"/>
    <n v="4219.5"/>
    <n v="260"/>
    <n v="125"/>
    <n v="527437.5"/>
    <n v="0"/>
    <n v="527437.5"/>
    <n v="506340"/>
    <n v="21097.5"/>
    <x v="13"/>
    <n v="4"/>
    <s v="April"/>
    <x v="0"/>
    <n v="0.04"/>
    <n v="0"/>
    <s v="Enterprise"/>
    <n v="0.96"/>
    <s v="Profitable ✅"/>
  </r>
  <r>
    <x v="0"/>
    <x v="2"/>
    <x v="5"/>
    <x v="0"/>
    <n v="1899"/>
    <n v="260"/>
    <n v="20"/>
    <n v="37980"/>
    <n v="0"/>
    <n v="37980"/>
    <n v="18990"/>
    <n v="18990"/>
    <x v="1"/>
    <n v="6"/>
    <s v="June"/>
    <x v="0"/>
    <n v="0.5"/>
    <n v="0"/>
    <s v="Medium"/>
    <n v="0.5"/>
    <s v="Profitable ✅"/>
  </r>
  <r>
    <x v="0"/>
    <x v="1"/>
    <x v="5"/>
    <x v="0"/>
    <n v="1686"/>
    <n v="260"/>
    <n v="7"/>
    <n v="11802"/>
    <n v="0"/>
    <n v="11802"/>
    <n v="8430"/>
    <n v="3372"/>
    <x v="4"/>
    <n v="7"/>
    <s v="July"/>
    <x v="0"/>
    <n v="0.2857142857142857"/>
    <n v="0"/>
    <s v="Medium"/>
    <n v="0.7142857142857143"/>
    <s v="Profitable ✅"/>
  </r>
  <r>
    <x v="2"/>
    <x v="4"/>
    <x v="5"/>
    <x v="0"/>
    <n v="2141"/>
    <n v="260"/>
    <n v="12"/>
    <n v="25692"/>
    <n v="0"/>
    <n v="25692"/>
    <n v="6423"/>
    <n v="19269"/>
    <x v="5"/>
    <n v="8"/>
    <s v="August"/>
    <x v="0"/>
    <n v="0.75"/>
    <n v="0"/>
    <s v="Medium"/>
    <n v="0.25"/>
    <s v="Profitable ✅"/>
  </r>
  <r>
    <x v="0"/>
    <x v="4"/>
    <x v="5"/>
    <x v="0"/>
    <n v="1143"/>
    <n v="260"/>
    <n v="7"/>
    <n v="8001"/>
    <n v="0"/>
    <n v="8001"/>
    <n v="5715"/>
    <n v="2286"/>
    <x v="10"/>
    <n v="10"/>
    <s v="October"/>
    <x v="0"/>
    <n v="0.2857142857142857"/>
    <n v="0"/>
    <s v="Small"/>
    <n v="0.7142857142857143"/>
    <s v="Profitable ✅"/>
  </r>
  <r>
    <x v="1"/>
    <x v="4"/>
    <x v="5"/>
    <x v="0"/>
    <n v="615"/>
    <n v="260"/>
    <n v="15"/>
    <n v="9225"/>
    <n v="0"/>
    <n v="9225"/>
    <n v="6150"/>
    <n v="3075"/>
    <x v="2"/>
    <n v="12"/>
    <s v="December"/>
    <x v="0"/>
    <n v="0.33333333333333331"/>
    <n v="0"/>
    <s v="Small"/>
    <n v="0.66666666666666663"/>
    <s v="Profitable ✅"/>
  </r>
  <r>
    <x v="0"/>
    <x v="2"/>
    <x v="2"/>
    <x v="1"/>
    <n v="3945"/>
    <n v="10"/>
    <n v="7"/>
    <n v="27615"/>
    <n v="276.14999999999998"/>
    <n v="27338.850000000002"/>
    <n v="19725"/>
    <n v="7613.8500000000022"/>
    <x v="0"/>
    <n v="1"/>
    <s v="January"/>
    <x v="0"/>
    <n v="0.27849927849927858"/>
    <n v="9.9999999999999985E-3"/>
    <s v="Medium"/>
    <n v="0.72150072150072142"/>
    <s v="Profitable ✅"/>
  </r>
  <r>
    <x v="1"/>
    <x v="2"/>
    <x v="2"/>
    <x v="1"/>
    <n v="2296"/>
    <n v="10"/>
    <n v="15"/>
    <n v="34440"/>
    <n v="344.4"/>
    <n v="34095.599999999999"/>
    <n v="22960"/>
    <n v="11135.599999999999"/>
    <x v="8"/>
    <n v="2"/>
    <s v="February"/>
    <x v="0"/>
    <n v="0.32659932659932656"/>
    <n v="9.9999999999999985E-3"/>
    <s v="Medium"/>
    <n v="0.67340067340067344"/>
    <s v="Profitable ✅"/>
  </r>
  <r>
    <x v="0"/>
    <x v="2"/>
    <x v="2"/>
    <x v="1"/>
    <n v="1030"/>
    <n v="10"/>
    <n v="7"/>
    <n v="7210"/>
    <n v="72.099999999999994"/>
    <n v="7137.9"/>
    <n v="5150"/>
    <n v="1987.8999999999996"/>
    <x v="14"/>
    <n v="5"/>
    <s v="May"/>
    <x v="0"/>
    <n v="0.27849927849927847"/>
    <n v="9.9999999999999985E-3"/>
    <s v="Small"/>
    <n v="0.72150072150072153"/>
    <s v="Profitable ✅"/>
  </r>
  <r>
    <x v="0"/>
    <x v="2"/>
    <x v="3"/>
    <x v="1"/>
    <n v="639"/>
    <n v="120"/>
    <n v="7"/>
    <n v="4473"/>
    <n v="44.73"/>
    <n v="4428.2700000000004"/>
    <n v="3195"/>
    <n v="1233.2700000000004"/>
    <x v="15"/>
    <n v="11"/>
    <s v="November"/>
    <x v="0"/>
    <n v="0.27849927849927858"/>
    <n v="9.9999999999999985E-3"/>
    <s v="Small"/>
    <n v="0.72150072150072142"/>
    <s v="Profitable ✅"/>
  </r>
  <r>
    <x v="0"/>
    <x v="0"/>
    <x v="4"/>
    <x v="1"/>
    <n v="1326"/>
    <n v="250"/>
    <n v="7"/>
    <n v="9282"/>
    <n v="92.82"/>
    <n v="9189.18"/>
    <n v="6630"/>
    <n v="2559.1800000000003"/>
    <x v="3"/>
    <n v="3"/>
    <s v="March"/>
    <x v="0"/>
    <n v="0.27849927849927852"/>
    <n v="9.9999999999999985E-3"/>
    <s v="Small"/>
    <n v="0.72150072150072153"/>
    <s v="Profitable ✅"/>
  </r>
  <r>
    <x v="2"/>
    <x v="4"/>
    <x v="0"/>
    <x v="1"/>
    <n v="1858"/>
    <n v="3"/>
    <n v="12"/>
    <n v="22296"/>
    <n v="222.96"/>
    <n v="22073.040000000001"/>
    <n v="5574"/>
    <n v="16499.04"/>
    <x v="8"/>
    <n v="2"/>
    <s v="February"/>
    <x v="0"/>
    <n v="0.74747474747474751"/>
    <n v="0.01"/>
    <s v="Medium"/>
    <n v="0.25252525252525254"/>
    <s v="Profitable ✅"/>
  </r>
  <r>
    <x v="0"/>
    <x v="3"/>
    <x v="0"/>
    <x v="1"/>
    <n v="1210"/>
    <n v="3"/>
    <n v="350"/>
    <n v="423500"/>
    <n v="4235"/>
    <n v="419265"/>
    <n v="314600"/>
    <n v="104665"/>
    <x v="3"/>
    <n v="3"/>
    <s v="March"/>
    <x v="0"/>
    <n v="0.24963924963924963"/>
    <n v="0.01"/>
    <s v="Enterprise"/>
    <n v="0.75036075036075034"/>
    <s v="Profitable ✅"/>
  </r>
  <r>
    <x v="0"/>
    <x v="4"/>
    <x v="0"/>
    <x v="1"/>
    <n v="2529"/>
    <n v="3"/>
    <n v="7"/>
    <n v="17703"/>
    <n v="177.03"/>
    <n v="17525.97"/>
    <n v="12645"/>
    <n v="4880.9699999999993"/>
    <x v="4"/>
    <n v="7"/>
    <s v="July"/>
    <x v="0"/>
    <n v="0.27849927849927847"/>
    <n v="0.01"/>
    <s v="Medium"/>
    <n v="0.72150072150072142"/>
    <s v="Profitable ✅"/>
  </r>
  <r>
    <x v="2"/>
    <x v="0"/>
    <x v="0"/>
    <x v="1"/>
    <n v="1445"/>
    <n v="3"/>
    <n v="12"/>
    <n v="17340"/>
    <n v="173.4"/>
    <n v="17166.599999999999"/>
    <n v="4335"/>
    <n v="12831.599999999999"/>
    <x v="6"/>
    <n v="9"/>
    <s v="September"/>
    <x v="0"/>
    <n v="0.7474747474747474"/>
    <n v="0.01"/>
    <s v="Medium"/>
    <n v="0.25252525252525254"/>
    <s v="Profitable ✅"/>
  </r>
  <r>
    <x v="3"/>
    <x v="4"/>
    <x v="0"/>
    <x v="1"/>
    <n v="330"/>
    <n v="3"/>
    <n v="125"/>
    <n v="41250"/>
    <n v="412.5"/>
    <n v="40837.5"/>
    <n v="39600"/>
    <n v="1237.5"/>
    <x v="9"/>
    <n v="9"/>
    <s v="September"/>
    <x v="1"/>
    <n v="3.0303030303030304E-2"/>
    <n v="0.01"/>
    <s v="Medium"/>
    <n v="0.96969696969696972"/>
    <s v="Profitable ✅"/>
  </r>
  <r>
    <x v="2"/>
    <x v="2"/>
    <x v="0"/>
    <x v="1"/>
    <n v="2671"/>
    <n v="3"/>
    <n v="12"/>
    <n v="32052"/>
    <n v="320.52"/>
    <n v="31731.48"/>
    <n v="8013"/>
    <n v="23718.48"/>
    <x v="6"/>
    <n v="9"/>
    <s v="September"/>
    <x v="0"/>
    <n v="0.74747474747474751"/>
    <n v="0.01"/>
    <s v="Medium"/>
    <n v="0.25252525252525254"/>
    <s v="Profitable ✅"/>
  </r>
  <r>
    <x v="2"/>
    <x v="1"/>
    <x v="0"/>
    <x v="1"/>
    <n v="766"/>
    <n v="3"/>
    <n v="12"/>
    <n v="9192"/>
    <n v="91.92"/>
    <n v="9100.08"/>
    <n v="2298"/>
    <n v="6802.08"/>
    <x v="7"/>
    <n v="10"/>
    <s v="October"/>
    <x v="1"/>
    <n v="0.74747474747474751"/>
    <n v="0.01"/>
    <s v="Small"/>
    <n v="0.25252525252525254"/>
    <s v="Profitable ✅"/>
  </r>
  <r>
    <x v="4"/>
    <x v="3"/>
    <x v="0"/>
    <x v="1"/>
    <n v="494"/>
    <n v="3"/>
    <n v="300"/>
    <n v="148200"/>
    <n v="1482"/>
    <n v="146718"/>
    <n v="123500"/>
    <n v="23218"/>
    <x v="7"/>
    <n v="10"/>
    <s v="October"/>
    <x v="1"/>
    <n v="0.15824915824915825"/>
    <n v="0.01"/>
    <s v="Large"/>
    <n v="0.84175084175084181"/>
    <s v="Profitable ✅"/>
  </r>
  <r>
    <x v="0"/>
    <x v="3"/>
    <x v="0"/>
    <x v="1"/>
    <n v="1397"/>
    <n v="3"/>
    <n v="350"/>
    <n v="488950"/>
    <n v="4889.5"/>
    <n v="484060.5"/>
    <n v="363220"/>
    <n v="120840.5"/>
    <x v="10"/>
    <n v="10"/>
    <s v="October"/>
    <x v="0"/>
    <n v="0.24963924963924963"/>
    <n v="0.01"/>
    <s v="Enterprise"/>
    <n v="0.75036075036075034"/>
    <s v="Profitable ✅"/>
  </r>
  <r>
    <x v="0"/>
    <x v="2"/>
    <x v="0"/>
    <x v="1"/>
    <n v="2155"/>
    <n v="3"/>
    <n v="350"/>
    <n v="754250"/>
    <n v="7542.5"/>
    <n v="746707.5"/>
    <n v="560300"/>
    <n v="186407.5"/>
    <x v="2"/>
    <n v="12"/>
    <s v="December"/>
    <x v="0"/>
    <n v="0.24963924963924963"/>
    <n v="0.01"/>
    <s v="Enterprise"/>
    <n v="0.75036075036075034"/>
    <s v="Profitable ✅"/>
  </r>
  <r>
    <x v="1"/>
    <x v="3"/>
    <x v="1"/>
    <x v="1"/>
    <n v="2214"/>
    <n v="5"/>
    <n v="15"/>
    <n v="33210"/>
    <n v="332.1"/>
    <n v="32877.9"/>
    <n v="22140"/>
    <n v="10737.900000000001"/>
    <x v="3"/>
    <n v="3"/>
    <s v="March"/>
    <x v="0"/>
    <n v="0.32659932659932661"/>
    <n v="0.01"/>
    <s v="Medium"/>
    <n v="0.67340067340067333"/>
    <s v="Profitable ✅"/>
  </r>
  <r>
    <x v="4"/>
    <x v="4"/>
    <x v="1"/>
    <x v="1"/>
    <n v="2301"/>
    <n v="5"/>
    <n v="300"/>
    <n v="690300"/>
    <n v="6903"/>
    <n v="683397"/>
    <n v="575250"/>
    <n v="108147"/>
    <x v="13"/>
    <n v="4"/>
    <s v="April"/>
    <x v="0"/>
    <n v="0.15824915824915825"/>
    <n v="0.01"/>
    <s v="Enterprise"/>
    <n v="0.84175084175084181"/>
    <s v="Profitable ✅"/>
  </r>
  <r>
    <x v="0"/>
    <x v="2"/>
    <x v="1"/>
    <x v="1"/>
    <n v="1375.5"/>
    <n v="5"/>
    <n v="20"/>
    <n v="27510"/>
    <n v="275.10000000000002"/>
    <n v="27234.899999999998"/>
    <n v="13755"/>
    <n v="13479.899999999998"/>
    <x v="4"/>
    <n v="7"/>
    <s v="July"/>
    <x v="0"/>
    <n v="0.49494949494949492"/>
    <n v="0.01"/>
    <s v="Medium"/>
    <n v="0.50505050505050508"/>
    <s v="Profitable ✅"/>
  </r>
  <r>
    <x v="0"/>
    <x v="0"/>
    <x v="1"/>
    <x v="1"/>
    <n v="1830"/>
    <n v="5"/>
    <n v="7"/>
    <n v="12810"/>
    <n v="128.1"/>
    <n v="12681.9"/>
    <n v="9150"/>
    <n v="3531.8999999999996"/>
    <x v="5"/>
    <n v="8"/>
    <s v="August"/>
    <x v="0"/>
    <n v="0.27849927849927847"/>
    <n v="0.01"/>
    <s v="Medium"/>
    <n v="0.72150072150072153"/>
    <s v="Profitable ✅"/>
  </r>
  <r>
    <x v="4"/>
    <x v="4"/>
    <x v="1"/>
    <x v="1"/>
    <n v="2498"/>
    <n v="5"/>
    <n v="300"/>
    <n v="749400"/>
    <n v="7494"/>
    <n v="741906"/>
    <n v="624500"/>
    <n v="117406"/>
    <x v="9"/>
    <n v="9"/>
    <s v="September"/>
    <x v="1"/>
    <n v="0.15824915824915825"/>
    <n v="0.01"/>
    <s v="Enterprise"/>
    <n v="0.84175084175084181"/>
    <s v="Profitable ✅"/>
  </r>
  <r>
    <x v="3"/>
    <x v="4"/>
    <x v="1"/>
    <x v="1"/>
    <n v="663"/>
    <n v="5"/>
    <n v="125"/>
    <n v="82875"/>
    <n v="828.75"/>
    <n v="82046.25"/>
    <n v="79560"/>
    <n v="2486.25"/>
    <x v="7"/>
    <n v="10"/>
    <s v="October"/>
    <x v="1"/>
    <n v="3.0303030303030304E-2"/>
    <n v="0.01"/>
    <s v="Large"/>
    <n v="0.96969696969696972"/>
    <s v="Profitable ✅"/>
  </r>
  <r>
    <x v="1"/>
    <x v="4"/>
    <x v="2"/>
    <x v="1"/>
    <n v="1514"/>
    <n v="10"/>
    <n v="15"/>
    <n v="22710"/>
    <n v="227.1"/>
    <n v="22482.9"/>
    <n v="15140"/>
    <n v="7342.9000000000015"/>
    <x v="8"/>
    <n v="2"/>
    <s v="February"/>
    <x v="0"/>
    <n v="0.32659932659932667"/>
    <n v="0.01"/>
    <s v="Medium"/>
    <n v="0.67340067340067333"/>
    <s v="Profitable ✅"/>
  </r>
  <r>
    <x v="0"/>
    <x v="4"/>
    <x v="2"/>
    <x v="1"/>
    <n v="4492.5"/>
    <n v="10"/>
    <n v="7"/>
    <n v="31447.5"/>
    <n v="314.47500000000002"/>
    <n v="31133.024999999998"/>
    <n v="22462.5"/>
    <n v="8670.5249999999978"/>
    <x v="13"/>
    <n v="4"/>
    <s v="April"/>
    <x v="0"/>
    <n v="0.27849927849927847"/>
    <n v="0.01"/>
    <s v="Medium"/>
    <n v="0.72150072150072153"/>
    <s v="Profitable ✅"/>
  </r>
  <r>
    <x v="3"/>
    <x v="4"/>
    <x v="2"/>
    <x v="1"/>
    <n v="727"/>
    <n v="10"/>
    <n v="125"/>
    <n v="90875"/>
    <n v="908.75"/>
    <n v="89966.25"/>
    <n v="87240"/>
    <n v="2726.25"/>
    <x v="1"/>
    <n v="6"/>
    <s v="June"/>
    <x v="0"/>
    <n v="3.0303030303030304E-2"/>
    <n v="0.01"/>
    <s v="Large"/>
    <n v="0.96969696969696972"/>
    <s v="Profitable ✅"/>
  </r>
  <r>
    <x v="3"/>
    <x v="2"/>
    <x v="2"/>
    <x v="1"/>
    <n v="787"/>
    <n v="10"/>
    <n v="125"/>
    <n v="98375"/>
    <n v="983.75"/>
    <n v="97391.25"/>
    <n v="94440"/>
    <n v="2951.25"/>
    <x v="1"/>
    <n v="6"/>
    <s v="June"/>
    <x v="0"/>
    <n v="3.0303030303030304E-2"/>
    <n v="0.01"/>
    <s v="Large"/>
    <n v="0.96969696969696972"/>
    <s v="Profitable ✅"/>
  </r>
  <r>
    <x v="3"/>
    <x v="3"/>
    <x v="2"/>
    <x v="1"/>
    <n v="1823"/>
    <n v="10"/>
    <n v="125"/>
    <n v="227875"/>
    <n v="2278.75"/>
    <n v="225596.25"/>
    <n v="218760"/>
    <n v="6836.25"/>
    <x v="4"/>
    <n v="7"/>
    <s v="July"/>
    <x v="0"/>
    <n v="3.0303030303030304E-2"/>
    <n v="0.01"/>
    <s v="Enterprise"/>
    <n v="0.96969696969696972"/>
    <s v="Profitable ✅"/>
  </r>
  <r>
    <x v="1"/>
    <x v="1"/>
    <x v="2"/>
    <x v="1"/>
    <n v="747"/>
    <n v="10"/>
    <n v="15"/>
    <n v="11205"/>
    <n v="112.05"/>
    <n v="11092.95"/>
    <n v="7470"/>
    <n v="3622.9500000000007"/>
    <x v="6"/>
    <n v="9"/>
    <s v="September"/>
    <x v="0"/>
    <n v="0.32659932659932667"/>
    <n v="0.01"/>
    <s v="Medium"/>
    <n v="0.67340067340067333"/>
    <s v="Profitable ✅"/>
  </r>
  <r>
    <x v="2"/>
    <x v="1"/>
    <x v="2"/>
    <x v="1"/>
    <n v="766"/>
    <n v="10"/>
    <n v="12"/>
    <n v="9192"/>
    <n v="91.92"/>
    <n v="9100.08"/>
    <n v="2298"/>
    <n v="6802.08"/>
    <x v="7"/>
    <n v="10"/>
    <s v="October"/>
    <x v="1"/>
    <n v="0.74747474747474751"/>
    <n v="0.01"/>
    <s v="Small"/>
    <n v="0.25252525252525254"/>
    <s v="Profitable ✅"/>
  </r>
  <r>
    <x v="4"/>
    <x v="4"/>
    <x v="2"/>
    <x v="1"/>
    <n v="2905"/>
    <n v="10"/>
    <n v="300"/>
    <n v="871500"/>
    <n v="8715"/>
    <n v="862785"/>
    <n v="726250"/>
    <n v="136535"/>
    <x v="15"/>
    <n v="11"/>
    <s v="November"/>
    <x v="0"/>
    <n v="0.15824915824915825"/>
    <n v="0.01"/>
    <s v="Enterprise"/>
    <n v="0.84175084175084181"/>
    <s v="Profitable ✅"/>
  </r>
  <r>
    <x v="0"/>
    <x v="2"/>
    <x v="2"/>
    <x v="1"/>
    <n v="2155"/>
    <n v="10"/>
    <n v="350"/>
    <n v="754250"/>
    <n v="7542.5"/>
    <n v="746707.5"/>
    <n v="560300"/>
    <n v="186407.5"/>
    <x v="2"/>
    <n v="12"/>
    <s v="December"/>
    <x v="0"/>
    <n v="0.24963924963924963"/>
    <n v="0.01"/>
    <s v="Enterprise"/>
    <n v="0.75036075036075034"/>
    <s v="Profitable ✅"/>
  </r>
  <r>
    <x v="0"/>
    <x v="2"/>
    <x v="3"/>
    <x v="1"/>
    <n v="3864"/>
    <n v="120"/>
    <n v="20"/>
    <n v="77280"/>
    <n v="772.80000000000007"/>
    <n v="76507.200000000012"/>
    <n v="38640"/>
    <n v="37867.200000000004"/>
    <x v="13"/>
    <n v="4"/>
    <s v="April"/>
    <x v="0"/>
    <n v="0.49494949494949492"/>
    <n v="0.01"/>
    <s v="Large"/>
    <n v="0.50505050505050497"/>
    <s v="Profitable ✅"/>
  </r>
  <r>
    <x v="0"/>
    <x v="3"/>
    <x v="3"/>
    <x v="1"/>
    <n v="362"/>
    <n v="120"/>
    <n v="7"/>
    <n v="2534"/>
    <n v="25.34"/>
    <n v="2508.66"/>
    <n v="1810"/>
    <n v="698.65999999999985"/>
    <x v="14"/>
    <n v="5"/>
    <s v="May"/>
    <x v="0"/>
    <n v="0.27849927849927847"/>
    <n v="0.01"/>
    <s v="Small"/>
    <n v="0.72150072150072153"/>
    <s v="Profitable ✅"/>
  </r>
  <r>
    <x v="3"/>
    <x v="0"/>
    <x v="3"/>
    <x v="1"/>
    <n v="923"/>
    <n v="120"/>
    <n v="125"/>
    <n v="115375"/>
    <n v="1153.75"/>
    <n v="114221.25"/>
    <n v="110760"/>
    <n v="3461.25"/>
    <x v="5"/>
    <n v="8"/>
    <s v="August"/>
    <x v="0"/>
    <n v="3.0303030303030304E-2"/>
    <n v="0.01"/>
    <s v="Large"/>
    <n v="0.96969696969696972"/>
    <s v="Profitable ✅"/>
  </r>
  <r>
    <x v="3"/>
    <x v="4"/>
    <x v="3"/>
    <x v="1"/>
    <n v="663"/>
    <n v="120"/>
    <n v="125"/>
    <n v="82875"/>
    <n v="828.75"/>
    <n v="82046.25"/>
    <n v="79560"/>
    <n v="2486.25"/>
    <x v="7"/>
    <n v="10"/>
    <s v="October"/>
    <x v="1"/>
    <n v="3.0303030303030304E-2"/>
    <n v="0.01"/>
    <s v="Large"/>
    <n v="0.96969696969696972"/>
    <s v="Profitable ✅"/>
  </r>
  <r>
    <x v="0"/>
    <x v="0"/>
    <x v="3"/>
    <x v="1"/>
    <n v="2092"/>
    <n v="120"/>
    <n v="7"/>
    <n v="14644"/>
    <n v="146.44"/>
    <n v="14497.56"/>
    <n v="10460"/>
    <n v="4037.5599999999995"/>
    <x v="11"/>
    <n v="11"/>
    <s v="November"/>
    <x v="1"/>
    <n v="0.27849927849927847"/>
    <n v="0.01"/>
    <s v="Medium"/>
    <n v="0.72150072150072153"/>
    <s v="Profitable ✅"/>
  </r>
  <r>
    <x v="0"/>
    <x v="1"/>
    <x v="4"/>
    <x v="1"/>
    <n v="263"/>
    <n v="250"/>
    <n v="7"/>
    <n v="1841"/>
    <n v="18.41"/>
    <n v="1822.59"/>
    <n v="1315"/>
    <n v="507.58999999999992"/>
    <x v="3"/>
    <n v="3"/>
    <s v="March"/>
    <x v="0"/>
    <n v="0.27849927849927847"/>
    <n v="0.01"/>
    <s v="Small"/>
    <n v="0.72150072150072153"/>
    <s v="Profitable ✅"/>
  </r>
  <r>
    <x v="0"/>
    <x v="0"/>
    <x v="4"/>
    <x v="1"/>
    <n v="943.5"/>
    <n v="250"/>
    <n v="350"/>
    <n v="330225"/>
    <n v="3302.25"/>
    <n v="326922.75"/>
    <n v="245310"/>
    <n v="81612.75"/>
    <x v="13"/>
    <n v="4"/>
    <s v="April"/>
    <x v="0"/>
    <n v="0.24963924963924963"/>
    <n v="0.01"/>
    <s v="Enterprise"/>
    <n v="0.75036075036075034"/>
    <s v="Profitable ✅"/>
  </r>
  <r>
    <x v="3"/>
    <x v="4"/>
    <x v="4"/>
    <x v="1"/>
    <n v="727"/>
    <n v="250"/>
    <n v="125"/>
    <n v="90875"/>
    <n v="908.75"/>
    <n v="89966.25"/>
    <n v="87240"/>
    <n v="2726.25"/>
    <x v="1"/>
    <n v="6"/>
    <s v="June"/>
    <x v="0"/>
    <n v="3.0303030303030304E-2"/>
    <n v="0.01"/>
    <s v="Large"/>
    <n v="0.96969696969696972"/>
    <s v="Profitable ✅"/>
  </r>
  <r>
    <x v="3"/>
    <x v="2"/>
    <x v="4"/>
    <x v="1"/>
    <n v="787"/>
    <n v="250"/>
    <n v="125"/>
    <n v="98375"/>
    <n v="983.75"/>
    <n v="97391.25"/>
    <n v="94440"/>
    <n v="2951.25"/>
    <x v="1"/>
    <n v="6"/>
    <s v="June"/>
    <x v="0"/>
    <n v="3.0303030303030304E-2"/>
    <n v="0.01"/>
    <s v="Large"/>
    <n v="0.96969696969696972"/>
    <s v="Profitable ✅"/>
  </r>
  <r>
    <x v="4"/>
    <x v="1"/>
    <x v="4"/>
    <x v="1"/>
    <n v="986"/>
    <n v="250"/>
    <n v="300"/>
    <n v="295800"/>
    <n v="2958"/>
    <n v="292842"/>
    <n v="246500"/>
    <n v="46342"/>
    <x v="6"/>
    <n v="9"/>
    <s v="September"/>
    <x v="0"/>
    <n v="0.15824915824915825"/>
    <n v="0.01"/>
    <s v="Enterprise"/>
    <n v="0.84175084175084181"/>
    <s v="Profitable ✅"/>
  </r>
  <r>
    <x v="4"/>
    <x v="3"/>
    <x v="4"/>
    <x v="1"/>
    <n v="494"/>
    <n v="250"/>
    <n v="300"/>
    <n v="148200"/>
    <n v="1482"/>
    <n v="146718"/>
    <n v="123500"/>
    <n v="23218"/>
    <x v="7"/>
    <n v="10"/>
    <s v="October"/>
    <x v="1"/>
    <n v="0.15824915824915825"/>
    <n v="0.01"/>
    <s v="Large"/>
    <n v="0.84175084175084181"/>
    <s v="Profitable ✅"/>
  </r>
  <r>
    <x v="0"/>
    <x v="3"/>
    <x v="4"/>
    <x v="1"/>
    <n v="1397"/>
    <n v="250"/>
    <n v="350"/>
    <n v="488950"/>
    <n v="4889.5"/>
    <n v="484060.5"/>
    <n v="363220"/>
    <n v="120840.5"/>
    <x v="10"/>
    <n v="10"/>
    <s v="October"/>
    <x v="0"/>
    <n v="0.24963924963924963"/>
    <n v="0.01"/>
    <s v="Enterprise"/>
    <n v="0.75036075036075034"/>
    <s v="Profitable ✅"/>
  </r>
  <r>
    <x v="3"/>
    <x v="2"/>
    <x v="4"/>
    <x v="1"/>
    <n v="1744"/>
    <n v="250"/>
    <n v="125"/>
    <n v="218000"/>
    <n v="2180"/>
    <n v="215820"/>
    <n v="209280"/>
    <n v="6540"/>
    <x v="15"/>
    <n v="11"/>
    <s v="November"/>
    <x v="0"/>
    <n v="3.0303030303030304E-2"/>
    <n v="0.01"/>
    <s v="Enterprise"/>
    <n v="0.96969696969696972"/>
    <s v="Profitable ✅"/>
  </r>
  <r>
    <x v="2"/>
    <x v="4"/>
    <x v="5"/>
    <x v="1"/>
    <n v="1989"/>
    <n v="260"/>
    <n v="12"/>
    <n v="23868"/>
    <n v="238.68"/>
    <n v="23629.32"/>
    <n v="5967"/>
    <n v="17662.32"/>
    <x v="9"/>
    <n v="9"/>
    <s v="September"/>
    <x v="1"/>
    <n v="0.74747474747474751"/>
    <n v="0.01"/>
    <s v="Medium"/>
    <n v="0.25252525252525254"/>
    <s v="Profitable ✅"/>
  </r>
  <r>
    <x v="1"/>
    <x v="2"/>
    <x v="5"/>
    <x v="1"/>
    <n v="321"/>
    <n v="260"/>
    <n v="15"/>
    <n v="4815"/>
    <n v="48.15"/>
    <n v="4766.8500000000004"/>
    <n v="3210"/>
    <n v="1556.8500000000004"/>
    <x v="11"/>
    <n v="11"/>
    <s v="November"/>
    <x v="1"/>
    <n v="0.32659932659932667"/>
    <n v="0.01"/>
    <s v="Small"/>
    <n v="0.67340067340067333"/>
    <s v="Profitable ✅"/>
  </r>
  <r>
    <x v="3"/>
    <x v="0"/>
    <x v="0"/>
    <x v="1"/>
    <n v="742.5"/>
    <n v="3"/>
    <n v="125"/>
    <n v="92812.5"/>
    <n v="1856.25"/>
    <n v="90956.25"/>
    <n v="89100"/>
    <n v="1856.25"/>
    <x v="13"/>
    <n v="4"/>
    <s v="April"/>
    <x v="0"/>
    <n v="2.0408163265306121E-2"/>
    <n v="0.02"/>
    <s v="Large"/>
    <n v="0.97959183673469385"/>
    <s v="Profitable ✅"/>
  </r>
  <r>
    <x v="2"/>
    <x v="0"/>
    <x v="0"/>
    <x v="1"/>
    <n v="1295"/>
    <n v="3"/>
    <n v="12"/>
    <n v="15540"/>
    <n v="310.8"/>
    <n v="15229.2"/>
    <n v="3885"/>
    <n v="11344.2"/>
    <x v="10"/>
    <n v="10"/>
    <s v="October"/>
    <x v="0"/>
    <n v="0.74489795918367352"/>
    <n v="0.02"/>
    <s v="Medium"/>
    <n v="0.25510204081632654"/>
    <s v="Profitable ✅"/>
  </r>
  <r>
    <x v="4"/>
    <x v="1"/>
    <x v="0"/>
    <x v="1"/>
    <n v="214"/>
    <n v="3"/>
    <n v="300"/>
    <n v="64200"/>
    <n v="1284"/>
    <n v="62916"/>
    <n v="53500"/>
    <n v="9416"/>
    <x v="7"/>
    <n v="10"/>
    <s v="October"/>
    <x v="1"/>
    <n v="0.14965986394557823"/>
    <n v="0.02"/>
    <s v="Large"/>
    <n v="0.85034013605442171"/>
    <s v="Profitable ✅"/>
  </r>
  <r>
    <x v="0"/>
    <x v="2"/>
    <x v="0"/>
    <x v="1"/>
    <n v="2145"/>
    <n v="3"/>
    <n v="7"/>
    <n v="15015"/>
    <n v="300.3"/>
    <n v="14714.7"/>
    <n v="10725"/>
    <n v="3989.7000000000007"/>
    <x v="11"/>
    <n v="11"/>
    <s v="November"/>
    <x v="1"/>
    <n v="0.2711370262390671"/>
    <n v="0.02"/>
    <s v="Medium"/>
    <n v="0.7288629737609329"/>
    <s v="Profitable ✅"/>
  </r>
  <r>
    <x v="0"/>
    <x v="0"/>
    <x v="0"/>
    <x v="1"/>
    <n v="2852"/>
    <n v="3"/>
    <n v="350"/>
    <n v="998200"/>
    <n v="19964"/>
    <n v="978236"/>
    <n v="741520"/>
    <n v="236716"/>
    <x v="2"/>
    <n v="12"/>
    <s v="December"/>
    <x v="0"/>
    <n v="0.24198250728862974"/>
    <n v="0.02"/>
    <s v="Enterprise"/>
    <n v="0.75801749271137031"/>
    <s v="Profitable ✅"/>
  </r>
  <r>
    <x v="2"/>
    <x v="4"/>
    <x v="1"/>
    <x v="1"/>
    <n v="1142"/>
    <n v="5"/>
    <n v="12"/>
    <n v="13704"/>
    <n v="274.08"/>
    <n v="13429.92"/>
    <n v="3426"/>
    <n v="10003.92"/>
    <x v="1"/>
    <n v="6"/>
    <s v="June"/>
    <x v="0"/>
    <n v="0.74489795918367352"/>
    <n v="0.02"/>
    <s v="Medium"/>
    <n v="0.25510204081632654"/>
    <s v="Profitable ✅"/>
  </r>
  <r>
    <x v="0"/>
    <x v="4"/>
    <x v="1"/>
    <x v="1"/>
    <n v="1566"/>
    <n v="5"/>
    <n v="20"/>
    <n v="31320"/>
    <n v="626.4"/>
    <n v="30693.599999999999"/>
    <n v="15660"/>
    <n v="15033.599999999999"/>
    <x v="10"/>
    <n v="10"/>
    <s v="October"/>
    <x v="0"/>
    <n v="0.48979591836734693"/>
    <n v="0.02"/>
    <s v="Medium"/>
    <n v="0.51020408163265307"/>
    <s v="Profitable ✅"/>
  </r>
  <r>
    <x v="2"/>
    <x v="3"/>
    <x v="1"/>
    <x v="1"/>
    <n v="690"/>
    <n v="5"/>
    <n v="12"/>
    <n v="8280"/>
    <n v="165.6"/>
    <n v="8114.4"/>
    <n v="2070"/>
    <n v="6044.4"/>
    <x v="15"/>
    <n v="11"/>
    <s v="November"/>
    <x v="0"/>
    <n v="0.74489795918367341"/>
    <n v="0.02"/>
    <s v="Small"/>
    <n v="0.25510204081632654"/>
    <s v="Profitable ✅"/>
  </r>
  <r>
    <x v="3"/>
    <x v="3"/>
    <x v="1"/>
    <x v="1"/>
    <n v="1660"/>
    <n v="5"/>
    <n v="125"/>
    <n v="207500"/>
    <n v="4150"/>
    <n v="203350"/>
    <n v="199200"/>
    <n v="4150"/>
    <x v="11"/>
    <n v="11"/>
    <s v="November"/>
    <x v="1"/>
    <n v="2.0408163265306121E-2"/>
    <n v="0.02"/>
    <s v="Enterprise"/>
    <n v="0.97959183673469385"/>
    <s v="Profitable ✅"/>
  </r>
  <r>
    <x v="1"/>
    <x v="0"/>
    <x v="2"/>
    <x v="1"/>
    <n v="2363"/>
    <n v="10"/>
    <n v="15"/>
    <n v="35445"/>
    <n v="708.9"/>
    <n v="34736.1"/>
    <n v="23630"/>
    <n v="11106.099999999999"/>
    <x v="8"/>
    <n v="2"/>
    <s v="February"/>
    <x v="0"/>
    <n v="0.31972789115646255"/>
    <n v="0.02"/>
    <s v="Medium"/>
    <n v="0.68027210884353739"/>
    <s v="Profitable ✅"/>
  </r>
  <r>
    <x v="4"/>
    <x v="2"/>
    <x v="2"/>
    <x v="1"/>
    <n v="918"/>
    <n v="10"/>
    <n v="300"/>
    <n v="275400"/>
    <n v="5508"/>
    <n v="269892"/>
    <n v="229500"/>
    <n v="40392"/>
    <x v="14"/>
    <n v="5"/>
    <s v="May"/>
    <x v="0"/>
    <n v="0.14965986394557823"/>
    <n v="0.02"/>
    <s v="Enterprise"/>
    <n v="0.85034013605442171"/>
    <s v="Profitable ✅"/>
  </r>
  <r>
    <x v="4"/>
    <x v="1"/>
    <x v="2"/>
    <x v="1"/>
    <n v="1728"/>
    <n v="10"/>
    <n v="300"/>
    <n v="518400"/>
    <n v="10368"/>
    <n v="508032"/>
    <n v="432000"/>
    <n v="76032"/>
    <x v="14"/>
    <n v="5"/>
    <s v="May"/>
    <x v="0"/>
    <n v="0.14965986394557823"/>
    <n v="0.02"/>
    <s v="Enterprise"/>
    <n v="0.85034013605442171"/>
    <s v="Profitable ✅"/>
  </r>
  <r>
    <x v="2"/>
    <x v="4"/>
    <x v="2"/>
    <x v="1"/>
    <n v="1142"/>
    <n v="10"/>
    <n v="12"/>
    <n v="13704"/>
    <n v="274.08"/>
    <n v="13429.92"/>
    <n v="3426"/>
    <n v="10003.92"/>
    <x v="1"/>
    <n v="6"/>
    <s v="June"/>
    <x v="0"/>
    <n v="0.74489795918367352"/>
    <n v="0.02"/>
    <s v="Medium"/>
    <n v="0.25510204081632654"/>
    <s v="Profitable ✅"/>
  </r>
  <r>
    <x v="3"/>
    <x v="3"/>
    <x v="2"/>
    <x v="1"/>
    <n v="662"/>
    <n v="10"/>
    <n v="125"/>
    <n v="82750"/>
    <n v="1655"/>
    <n v="81095"/>
    <n v="79440"/>
    <n v="1655"/>
    <x v="1"/>
    <n v="6"/>
    <s v="June"/>
    <x v="0"/>
    <n v="2.0408163265306121E-2"/>
    <n v="0.02"/>
    <s v="Large"/>
    <n v="0.97959183673469385"/>
    <s v="Profitable ✅"/>
  </r>
  <r>
    <x v="2"/>
    <x v="0"/>
    <x v="2"/>
    <x v="1"/>
    <n v="1295"/>
    <n v="10"/>
    <n v="12"/>
    <n v="15540"/>
    <n v="310.8"/>
    <n v="15229.2"/>
    <n v="3885"/>
    <n v="11344.2"/>
    <x v="10"/>
    <n v="10"/>
    <s v="October"/>
    <x v="0"/>
    <n v="0.74489795918367352"/>
    <n v="0.02"/>
    <s v="Medium"/>
    <n v="0.25510204081632654"/>
    <s v="Profitable ✅"/>
  </r>
  <r>
    <x v="3"/>
    <x v="1"/>
    <x v="2"/>
    <x v="1"/>
    <n v="809"/>
    <n v="10"/>
    <n v="125"/>
    <n v="101125"/>
    <n v="2022.5"/>
    <n v="99102.5"/>
    <n v="97080"/>
    <n v="2022.5"/>
    <x v="7"/>
    <n v="10"/>
    <s v="October"/>
    <x v="1"/>
    <n v="2.0408163265306121E-2"/>
    <n v="0.02"/>
    <s v="Large"/>
    <n v="0.97959183673469385"/>
    <s v="Profitable ✅"/>
  </r>
  <r>
    <x v="3"/>
    <x v="3"/>
    <x v="2"/>
    <x v="1"/>
    <n v="2145"/>
    <n v="10"/>
    <n v="125"/>
    <n v="268125"/>
    <n v="5362.5"/>
    <n v="262762.5"/>
    <n v="257400"/>
    <n v="5362.5"/>
    <x v="7"/>
    <n v="10"/>
    <s v="October"/>
    <x v="1"/>
    <n v="2.0408163265306121E-2"/>
    <n v="0.02"/>
    <s v="Enterprise"/>
    <n v="0.97959183673469385"/>
    <s v="Profitable ✅"/>
  </r>
  <r>
    <x v="2"/>
    <x v="2"/>
    <x v="2"/>
    <x v="1"/>
    <n v="1785"/>
    <n v="10"/>
    <n v="12"/>
    <n v="21420"/>
    <n v="428.4"/>
    <n v="20991.599999999999"/>
    <n v="5355"/>
    <n v="15636.599999999999"/>
    <x v="11"/>
    <n v="11"/>
    <s v="November"/>
    <x v="1"/>
    <n v="0.74489795918367341"/>
    <n v="0.02"/>
    <s v="Medium"/>
    <n v="0.25510204081632654"/>
    <s v="Profitable ✅"/>
  </r>
  <r>
    <x v="4"/>
    <x v="0"/>
    <x v="2"/>
    <x v="1"/>
    <n v="1916"/>
    <n v="10"/>
    <n v="300"/>
    <n v="574800"/>
    <n v="11496"/>
    <n v="563304"/>
    <n v="479000"/>
    <n v="84304"/>
    <x v="2"/>
    <n v="12"/>
    <s v="December"/>
    <x v="0"/>
    <n v="0.14965986394557823"/>
    <n v="0.02"/>
    <s v="Enterprise"/>
    <n v="0.85034013605442171"/>
    <s v="Profitable ✅"/>
  </r>
  <r>
    <x v="0"/>
    <x v="0"/>
    <x v="2"/>
    <x v="1"/>
    <n v="2852"/>
    <n v="10"/>
    <n v="350"/>
    <n v="998200"/>
    <n v="19964"/>
    <n v="978236"/>
    <n v="741520"/>
    <n v="236716"/>
    <x v="2"/>
    <n v="12"/>
    <s v="December"/>
    <x v="0"/>
    <n v="0.24198250728862974"/>
    <n v="0.02"/>
    <s v="Enterprise"/>
    <n v="0.75801749271137031"/>
    <s v="Profitable ✅"/>
  </r>
  <r>
    <x v="3"/>
    <x v="0"/>
    <x v="2"/>
    <x v="1"/>
    <n v="2729"/>
    <n v="10"/>
    <n v="125"/>
    <n v="341125"/>
    <n v="6822.5"/>
    <n v="334302.5"/>
    <n v="327480"/>
    <n v="6822.5"/>
    <x v="2"/>
    <n v="12"/>
    <s v="December"/>
    <x v="0"/>
    <n v="2.0408163265306121E-2"/>
    <n v="0.02"/>
    <s v="Enterprise"/>
    <n v="0.97959183673469385"/>
    <s v="Profitable ✅"/>
  </r>
  <r>
    <x v="1"/>
    <x v="4"/>
    <x v="2"/>
    <x v="1"/>
    <n v="1925"/>
    <n v="10"/>
    <n v="15"/>
    <n v="28875"/>
    <n v="577.5"/>
    <n v="28297.5"/>
    <n v="19250"/>
    <n v="9047.5"/>
    <x v="12"/>
    <n v="12"/>
    <s v="December"/>
    <x v="1"/>
    <n v="0.31972789115646261"/>
    <n v="0.02"/>
    <s v="Medium"/>
    <n v="0.68027210884353739"/>
    <s v="Profitable ✅"/>
  </r>
  <r>
    <x v="0"/>
    <x v="4"/>
    <x v="2"/>
    <x v="1"/>
    <n v="2013"/>
    <n v="10"/>
    <n v="7"/>
    <n v="14091"/>
    <n v="281.82"/>
    <n v="13809.18"/>
    <n v="10065"/>
    <n v="3744.1800000000003"/>
    <x v="12"/>
    <n v="12"/>
    <s v="December"/>
    <x v="1"/>
    <n v="0.27113702623906705"/>
    <n v="0.02"/>
    <s v="Medium"/>
    <n v="0.7288629737609329"/>
    <s v="Profitable ✅"/>
  </r>
  <r>
    <x v="2"/>
    <x v="2"/>
    <x v="2"/>
    <x v="1"/>
    <n v="1055"/>
    <n v="10"/>
    <n v="12"/>
    <n v="12660"/>
    <n v="253.2"/>
    <n v="12406.8"/>
    <n v="3165"/>
    <n v="9241.7999999999993"/>
    <x v="2"/>
    <n v="12"/>
    <s v="December"/>
    <x v="0"/>
    <n v="0.74489795918367341"/>
    <n v="0.02"/>
    <s v="Medium"/>
    <n v="0.25510204081632654"/>
    <s v="Profitable ✅"/>
  </r>
  <r>
    <x v="2"/>
    <x v="3"/>
    <x v="2"/>
    <x v="1"/>
    <n v="1084"/>
    <n v="10"/>
    <n v="12"/>
    <n v="13008"/>
    <n v="260.16000000000003"/>
    <n v="12747.84"/>
    <n v="3252"/>
    <n v="9495.84"/>
    <x v="2"/>
    <n v="12"/>
    <s v="December"/>
    <x v="0"/>
    <n v="0.74489795918367352"/>
    <n v="0.02"/>
    <s v="Medium"/>
    <n v="0.25510204081632654"/>
    <s v="Profitable ✅"/>
  </r>
  <r>
    <x v="0"/>
    <x v="4"/>
    <x v="3"/>
    <x v="1"/>
    <n v="1566"/>
    <n v="120"/>
    <n v="20"/>
    <n v="31320"/>
    <n v="626.4"/>
    <n v="30693.599999999999"/>
    <n v="15660"/>
    <n v="15033.599999999999"/>
    <x v="10"/>
    <n v="10"/>
    <s v="October"/>
    <x v="0"/>
    <n v="0.48979591836734693"/>
    <n v="0.02"/>
    <s v="Medium"/>
    <n v="0.51020408163265307"/>
    <s v="Profitable ✅"/>
  </r>
  <r>
    <x v="0"/>
    <x v="1"/>
    <x v="3"/>
    <x v="1"/>
    <n v="2966"/>
    <n v="120"/>
    <n v="350"/>
    <n v="1038100"/>
    <n v="20762"/>
    <n v="1017338"/>
    <n v="771160"/>
    <n v="246178"/>
    <x v="7"/>
    <n v="10"/>
    <s v="October"/>
    <x v="1"/>
    <n v="0.24198250728862974"/>
    <n v="0.02"/>
    <s v="Enterprise"/>
    <n v="0.75801749271137031"/>
    <s v="Profitable ✅"/>
  </r>
  <r>
    <x v="0"/>
    <x v="1"/>
    <x v="3"/>
    <x v="1"/>
    <n v="2877"/>
    <n v="120"/>
    <n v="350"/>
    <n v="1006950"/>
    <n v="20139"/>
    <n v="986811"/>
    <n v="748020"/>
    <n v="238791"/>
    <x v="10"/>
    <n v="10"/>
    <s v="October"/>
    <x v="0"/>
    <n v="0.24198250728862974"/>
    <n v="0.02"/>
    <s v="Enterprise"/>
    <n v="0.75801749271137031"/>
    <s v="Profitable ✅"/>
  </r>
  <r>
    <x v="3"/>
    <x v="1"/>
    <x v="3"/>
    <x v="1"/>
    <n v="809"/>
    <n v="120"/>
    <n v="125"/>
    <n v="101125"/>
    <n v="2022.5"/>
    <n v="99102.5"/>
    <n v="97080"/>
    <n v="2022.5"/>
    <x v="7"/>
    <n v="10"/>
    <s v="October"/>
    <x v="1"/>
    <n v="2.0408163265306121E-2"/>
    <n v="0.02"/>
    <s v="Large"/>
    <n v="0.97959183673469385"/>
    <s v="Profitable ✅"/>
  </r>
  <r>
    <x v="3"/>
    <x v="3"/>
    <x v="3"/>
    <x v="1"/>
    <n v="2145"/>
    <n v="120"/>
    <n v="125"/>
    <n v="268125"/>
    <n v="5362.5"/>
    <n v="262762.5"/>
    <n v="257400"/>
    <n v="5362.5"/>
    <x v="7"/>
    <n v="10"/>
    <s v="October"/>
    <x v="1"/>
    <n v="2.0408163265306121E-2"/>
    <n v="0.02"/>
    <s v="Enterprise"/>
    <n v="0.97959183673469385"/>
    <s v="Profitable ✅"/>
  </r>
  <r>
    <x v="2"/>
    <x v="2"/>
    <x v="3"/>
    <x v="1"/>
    <n v="1055"/>
    <n v="120"/>
    <n v="12"/>
    <n v="12660"/>
    <n v="253.2"/>
    <n v="12406.8"/>
    <n v="3165"/>
    <n v="9241.7999999999993"/>
    <x v="2"/>
    <n v="12"/>
    <s v="December"/>
    <x v="0"/>
    <n v="0.74489795918367341"/>
    <n v="0.02"/>
    <s v="Medium"/>
    <n v="0.25510204081632654"/>
    <s v="Profitable ✅"/>
  </r>
  <r>
    <x v="0"/>
    <x v="3"/>
    <x v="3"/>
    <x v="1"/>
    <n v="544"/>
    <n v="120"/>
    <n v="20"/>
    <n v="10880"/>
    <n v="217.6"/>
    <n v="10662.4"/>
    <n v="5440"/>
    <n v="5222.3999999999996"/>
    <x v="12"/>
    <n v="12"/>
    <s v="December"/>
    <x v="1"/>
    <n v="0.48979591836734693"/>
    <n v="0.02"/>
    <s v="Medium"/>
    <n v="0.51020408163265307"/>
    <s v="Profitable ✅"/>
  </r>
  <r>
    <x v="2"/>
    <x v="3"/>
    <x v="3"/>
    <x v="1"/>
    <n v="1084"/>
    <n v="120"/>
    <n v="12"/>
    <n v="13008"/>
    <n v="260.16000000000003"/>
    <n v="12747.84"/>
    <n v="3252"/>
    <n v="9495.84"/>
    <x v="2"/>
    <n v="12"/>
    <s v="December"/>
    <x v="0"/>
    <n v="0.74489795918367352"/>
    <n v="0.02"/>
    <s v="Medium"/>
    <n v="0.25510204081632654"/>
    <s v="Profitable ✅"/>
  </r>
  <r>
    <x v="3"/>
    <x v="3"/>
    <x v="4"/>
    <x v="1"/>
    <n v="662"/>
    <n v="250"/>
    <n v="125"/>
    <n v="82750"/>
    <n v="1655"/>
    <n v="81095"/>
    <n v="79440"/>
    <n v="1655"/>
    <x v="1"/>
    <n v="6"/>
    <s v="June"/>
    <x v="0"/>
    <n v="2.0408163265306121E-2"/>
    <n v="0.02"/>
    <s v="Large"/>
    <n v="0.97959183673469385"/>
    <s v="Profitable ✅"/>
  </r>
  <r>
    <x v="4"/>
    <x v="1"/>
    <x v="4"/>
    <x v="1"/>
    <n v="214"/>
    <n v="250"/>
    <n v="300"/>
    <n v="64200"/>
    <n v="1284"/>
    <n v="62916"/>
    <n v="53500"/>
    <n v="9416"/>
    <x v="7"/>
    <n v="10"/>
    <s v="October"/>
    <x v="1"/>
    <n v="0.14965986394557823"/>
    <n v="0.02"/>
    <s v="Large"/>
    <n v="0.85034013605442171"/>
    <s v="Profitable ✅"/>
  </r>
  <r>
    <x v="0"/>
    <x v="1"/>
    <x v="4"/>
    <x v="1"/>
    <n v="2877"/>
    <n v="250"/>
    <n v="350"/>
    <n v="1006950"/>
    <n v="20139"/>
    <n v="986811"/>
    <n v="748020"/>
    <n v="238791"/>
    <x v="10"/>
    <n v="10"/>
    <s v="October"/>
    <x v="0"/>
    <n v="0.24198250728862974"/>
    <n v="0.02"/>
    <s v="Enterprise"/>
    <n v="0.75801749271137031"/>
    <s v="Profitable ✅"/>
  </r>
  <r>
    <x v="3"/>
    <x v="0"/>
    <x v="4"/>
    <x v="1"/>
    <n v="2729"/>
    <n v="250"/>
    <n v="125"/>
    <n v="341125"/>
    <n v="6822.5"/>
    <n v="334302.5"/>
    <n v="327480"/>
    <n v="6822.5"/>
    <x v="2"/>
    <n v="12"/>
    <s v="December"/>
    <x v="0"/>
    <n v="2.0408163265306121E-2"/>
    <n v="0.02"/>
    <s v="Enterprise"/>
    <n v="0.97959183673469385"/>
    <s v="Profitable ✅"/>
  </r>
  <r>
    <x v="0"/>
    <x v="4"/>
    <x v="4"/>
    <x v="1"/>
    <n v="266"/>
    <n v="250"/>
    <n v="350"/>
    <n v="93100"/>
    <n v="1862"/>
    <n v="91238"/>
    <n v="69160"/>
    <n v="22078"/>
    <x v="12"/>
    <n v="12"/>
    <s v="December"/>
    <x v="1"/>
    <n v="0.24198250728862974"/>
    <n v="0.02"/>
    <s v="Large"/>
    <n v="0.75801749271137031"/>
    <s v="Profitable ✅"/>
  </r>
  <r>
    <x v="0"/>
    <x v="3"/>
    <x v="4"/>
    <x v="1"/>
    <n v="1940"/>
    <n v="250"/>
    <n v="350"/>
    <n v="679000"/>
    <n v="13580"/>
    <n v="665420"/>
    <n v="504400"/>
    <n v="161020"/>
    <x v="12"/>
    <n v="12"/>
    <s v="December"/>
    <x v="1"/>
    <n v="0.24198250728862974"/>
    <n v="0.02"/>
    <s v="Enterprise"/>
    <n v="0.75801749271137031"/>
    <s v="Profitable ✅"/>
  </r>
  <r>
    <x v="4"/>
    <x v="1"/>
    <x v="5"/>
    <x v="1"/>
    <n v="259"/>
    <n v="260"/>
    <n v="300"/>
    <n v="77700"/>
    <n v="1554"/>
    <n v="76146"/>
    <n v="64750"/>
    <n v="11396"/>
    <x v="3"/>
    <n v="3"/>
    <s v="March"/>
    <x v="0"/>
    <n v="0.14965986394557823"/>
    <n v="0.02"/>
    <s v="Large"/>
    <n v="0.85034013605442171"/>
    <s v="Profitable ✅"/>
  </r>
  <r>
    <x v="4"/>
    <x v="3"/>
    <x v="5"/>
    <x v="1"/>
    <n v="1101"/>
    <n v="260"/>
    <n v="300"/>
    <n v="330300"/>
    <n v="6606"/>
    <n v="323694"/>
    <n v="275250"/>
    <n v="48444"/>
    <x v="3"/>
    <n v="3"/>
    <s v="March"/>
    <x v="0"/>
    <n v="0.14965986394557823"/>
    <n v="0.02"/>
    <s v="Enterprise"/>
    <n v="0.85034013605442171"/>
    <s v="Profitable ✅"/>
  </r>
  <r>
    <x v="3"/>
    <x v="1"/>
    <x v="5"/>
    <x v="1"/>
    <n v="2276"/>
    <n v="260"/>
    <n v="125"/>
    <n v="284500"/>
    <n v="5690"/>
    <n v="278810"/>
    <n v="273120"/>
    <n v="5690"/>
    <x v="14"/>
    <n v="5"/>
    <s v="May"/>
    <x v="0"/>
    <n v="2.0408163265306121E-2"/>
    <n v="0.02"/>
    <s v="Enterprise"/>
    <n v="0.97959183673469385"/>
    <s v="Profitable ✅"/>
  </r>
  <r>
    <x v="0"/>
    <x v="1"/>
    <x v="5"/>
    <x v="1"/>
    <n v="2966"/>
    <n v="260"/>
    <n v="350"/>
    <n v="1038100"/>
    <n v="20762"/>
    <n v="1017338"/>
    <n v="771160"/>
    <n v="246178"/>
    <x v="7"/>
    <n v="10"/>
    <s v="October"/>
    <x v="1"/>
    <n v="0.24198250728862974"/>
    <n v="0.02"/>
    <s v="Enterprise"/>
    <n v="0.75801749271137031"/>
    <s v="Profitable ✅"/>
  </r>
  <r>
    <x v="0"/>
    <x v="4"/>
    <x v="5"/>
    <x v="1"/>
    <n v="1236"/>
    <n v="260"/>
    <n v="20"/>
    <n v="24720"/>
    <n v="494.4"/>
    <n v="24225.599999999999"/>
    <n v="12360"/>
    <n v="11865.599999999999"/>
    <x v="15"/>
    <n v="11"/>
    <s v="November"/>
    <x v="0"/>
    <n v="0.48979591836734693"/>
    <n v="0.02"/>
    <s v="Medium"/>
    <n v="0.51020408163265307"/>
    <s v="Profitable ✅"/>
  </r>
  <r>
    <x v="0"/>
    <x v="2"/>
    <x v="5"/>
    <x v="1"/>
    <n v="941"/>
    <n v="260"/>
    <n v="20"/>
    <n v="18820"/>
    <n v="376.4"/>
    <n v="18443.599999999999"/>
    <n v="9410"/>
    <n v="9033.5999999999985"/>
    <x v="15"/>
    <n v="11"/>
    <s v="November"/>
    <x v="0"/>
    <n v="0.48979591836734687"/>
    <n v="0.02"/>
    <s v="Medium"/>
    <n v="0.51020408163265307"/>
    <s v="Profitable ✅"/>
  </r>
  <r>
    <x v="4"/>
    <x v="0"/>
    <x v="5"/>
    <x v="1"/>
    <n v="1916"/>
    <n v="260"/>
    <n v="300"/>
    <n v="574800"/>
    <n v="11496"/>
    <n v="563304"/>
    <n v="479000"/>
    <n v="84304"/>
    <x v="2"/>
    <n v="12"/>
    <s v="December"/>
    <x v="0"/>
    <n v="0.14965986394557823"/>
    <n v="0.02"/>
    <s v="Enterprise"/>
    <n v="0.85034013605442171"/>
    <s v="Profitable ✅"/>
  </r>
  <r>
    <x v="3"/>
    <x v="2"/>
    <x v="0"/>
    <x v="1"/>
    <n v="4243.5"/>
    <n v="3"/>
    <n v="125"/>
    <n v="530437.5"/>
    <n v="15913.125"/>
    <n v="514524.375"/>
    <n v="509220"/>
    <n v="5304.375"/>
    <x v="13"/>
    <n v="4"/>
    <s v="April"/>
    <x v="0"/>
    <n v="1.0309278350515464E-2"/>
    <n v="0.03"/>
    <s v="Enterprise"/>
    <n v="0.98969072164948457"/>
    <s v="Profitable ✅"/>
  </r>
  <r>
    <x v="0"/>
    <x v="1"/>
    <x v="0"/>
    <x v="1"/>
    <n v="2580"/>
    <n v="3"/>
    <n v="20"/>
    <n v="51600"/>
    <n v="1548"/>
    <n v="50052"/>
    <n v="25800"/>
    <n v="24252"/>
    <x v="13"/>
    <n v="4"/>
    <s v="April"/>
    <x v="0"/>
    <n v="0.4845360824742268"/>
    <n v="0.03"/>
    <s v="Large"/>
    <n v="0.51546391752577314"/>
    <s v="Profitable ✅"/>
  </r>
  <r>
    <x v="4"/>
    <x v="1"/>
    <x v="0"/>
    <x v="1"/>
    <n v="689"/>
    <n v="3"/>
    <n v="300"/>
    <n v="206700"/>
    <n v="6201"/>
    <n v="200499"/>
    <n v="172250"/>
    <n v="28249"/>
    <x v="1"/>
    <n v="6"/>
    <s v="June"/>
    <x v="0"/>
    <n v="0.14089347079037801"/>
    <n v="0.03"/>
    <s v="Enterprise"/>
    <n v="0.85910652920962194"/>
    <s v="Profitable ✅"/>
  </r>
  <r>
    <x v="2"/>
    <x v="4"/>
    <x v="0"/>
    <x v="1"/>
    <n v="1947"/>
    <n v="3"/>
    <n v="12"/>
    <n v="23364"/>
    <n v="700.92"/>
    <n v="22663.08"/>
    <n v="5841"/>
    <n v="16822.080000000002"/>
    <x v="6"/>
    <n v="9"/>
    <s v="September"/>
    <x v="0"/>
    <n v="0.74226804123711343"/>
    <n v="0.03"/>
    <s v="Medium"/>
    <n v="0.25773195876288657"/>
    <s v="Profitable ✅"/>
  </r>
  <r>
    <x v="2"/>
    <x v="0"/>
    <x v="0"/>
    <x v="1"/>
    <n v="908"/>
    <n v="3"/>
    <n v="12"/>
    <n v="10896"/>
    <n v="326.88"/>
    <n v="10569.12"/>
    <n v="2724"/>
    <n v="7845.1200000000008"/>
    <x v="12"/>
    <n v="12"/>
    <s v="December"/>
    <x v="1"/>
    <n v="0.74226804123711343"/>
    <n v="0.03"/>
    <s v="Medium"/>
    <n v="0.25773195876288657"/>
    <s v="Profitable ✅"/>
  </r>
  <r>
    <x v="0"/>
    <x v="1"/>
    <x v="1"/>
    <x v="1"/>
    <n v="1958"/>
    <n v="5"/>
    <n v="7"/>
    <n v="13706"/>
    <n v="411.18"/>
    <n v="13294.82"/>
    <n v="9790"/>
    <n v="3504.8199999999997"/>
    <x v="8"/>
    <n v="2"/>
    <s v="February"/>
    <x v="0"/>
    <n v="0.26362297496318116"/>
    <n v="0.03"/>
    <s v="Medium"/>
    <n v="0.7363770250368189"/>
    <s v="Profitable ✅"/>
  </r>
  <r>
    <x v="2"/>
    <x v="2"/>
    <x v="1"/>
    <x v="1"/>
    <n v="1901"/>
    <n v="5"/>
    <n v="12"/>
    <n v="22812"/>
    <n v="684.36"/>
    <n v="22127.64"/>
    <n v="5703"/>
    <n v="16424.64"/>
    <x v="1"/>
    <n v="6"/>
    <s v="June"/>
    <x v="0"/>
    <n v="0.74226804123711343"/>
    <n v="0.03"/>
    <s v="Medium"/>
    <n v="0.25773195876288663"/>
    <s v="Profitable ✅"/>
  </r>
  <r>
    <x v="0"/>
    <x v="2"/>
    <x v="1"/>
    <x v="1"/>
    <n v="544"/>
    <n v="5"/>
    <n v="7"/>
    <n v="3808"/>
    <n v="114.24"/>
    <n v="3693.76"/>
    <n v="2720"/>
    <n v="973.76000000000022"/>
    <x v="6"/>
    <n v="9"/>
    <s v="September"/>
    <x v="0"/>
    <n v="0.26362297496318121"/>
    <n v="0.03"/>
    <s v="Small"/>
    <n v="0.73637702503681879"/>
    <s v="Profitable ✅"/>
  </r>
  <r>
    <x v="0"/>
    <x v="1"/>
    <x v="1"/>
    <x v="1"/>
    <n v="1797"/>
    <n v="5"/>
    <n v="350"/>
    <n v="628950"/>
    <n v="18868.5"/>
    <n v="610081.5"/>
    <n v="467220"/>
    <n v="142861.5"/>
    <x v="9"/>
    <n v="9"/>
    <s v="September"/>
    <x v="1"/>
    <n v="0.2341678939617084"/>
    <n v="0.03"/>
    <s v="Enterprise"/>
    <n v="0.76583210603829166"/>
    <s v="Profitable ✅"/>
  </r>
  <r>
    <x v="3"/>
    <x v="2"/>
    <x v="1"/>
    <x v="1"/>
    <n v="1287"/>
    <n v="5"/>
    <n v="125"/>
    <n v="160875"/>
    <n v="4826.25"/>
    <n v="156048.75"/>
    <n v="154440"/>
    <n v="1608.75"/>
    <x v="2"/>
    <n v="12"/>
    <s v="December"/>
    <x v="0"/>
    <n v="1.0309278350515464E-2"/>
    <n v="0.03"/>
    <s v="Large"/>
    <n v="0.98969072164948457"/>
    <s v="Profitable ✅"/>
  </r>
  <r>
    <x v="3"/>
    <x v="1"/>
    <x v="1"/>
    <x v="1"/>
    <n v="1706"/>
    <n v="5"/>
    <n v="125"/>
    <n v="213250"/>
    <n v="6397.5"/>
    <n v="206852.5"/>
    <n v="204720"/>
    <n v="2132.5"/>
    <x v="2"/>
    <n v="12"/>
    <s v="December"/>
    <x v="0"/>
    <n v="1.0309278350515464E-2"/>
    <n v="0.03"/>
    <s v="Enterprise"/>
    <n v="0.98969072164948457"/>
    <s v="Profitable ✅"/>
  </r>
  <r>
    <x v="4"/>
    <x v="2"/>
    <x v="2"/>
    <x v="1"/>
    <n v="2434.5"/>
    <n v="10"/>
    <n v="300"/>
    <n v="730350"/>
    <n v="21910.5"/>
    <n v="708439.5"/>
    <n v="608625"/>
    <n v="99814.5"/>
    <x v="0"/>
    <n v="1"/>
    <s v="January"/>
    <x v="0"/>
    <n v="0.14089347079037801"/>
    <n v="0.03"/>
    <s v="Enterprise"/>
    <n v="0.85910652920962194"/>
    <s v="Profitable ✅"/>
  </r>
  <r>
    <x v="3"/>
    <x v="0"/>
    <x v="2"/>
    <x v="1"/>
    <n v="1774"/>
    <n v="10"/>
    <n v="125"/>
    <n v="221750"/>
    <n v="6652.5"/>
    <n v="215097.5"/>
    <n v="212880"/>
    <n v="2217.5"/>
    <x v="3"/>
    <n v="3"/>
    <s v="March"/>
    <x v="0"/>
    <n v="1.0309278350515464E-2"/>
    <n v="0.03"/>
    <s v="Enterprise"/>
    <n v="0.98969072164948457"/>
    <s v="Profitable ✅"/>
  </r>
  <r>
    <x v="2"/>
    <x v="2"/>
    <x v="2"/>
    <x v="1"/>
    <n v="1901"/>
    <n v="10"/>
    <n v="12"/>
    <n v="22812"/>
    <n v="684.36"/>
    <n v="22127.64"/>
    <n v="5703"/>
    <n v="16424.64"/>
    <x v="1"/>
    <n v="6"/>
    <s v="June"/>
    <x v="0"/>
    <n v="0.74226804123711343"/>
    <n v="0.03"/>
    <s v="Medium"/>
    <n v="0.25773195876288663"/>
    <s v="Profitable ✅"/>
  </r>
  <r>
    <x v="4"/>
    <x v="1"/>
    <x v="2"/>
    <x v="1"/>
    <n v="689"/>
    <n v="10"/>
    <n v="300"/>
    <n v="206700"/>
    <n v="6201"/>
    <n v="200499"/>
    <n v="172250"/>
    <n v="28249"/>
    <x v="1"/>
    <n v="6"/>
    <s v="June"/>
    <x v="0"/>
    <n v="0.14089347079037801"/>
    <n v="0.03"/>
    <s v="Enterprise"/>
    <n v="0.85910652920962194"/>
    <s v="Profitable ✅"/>
  </r>
  <r>
    <x v="3"/>
    <x v="1"/>
    <x v="2"/>
    <x v="1"/>
    <n v="1570"/>
    <n v="10"/>
    <n v="125"/>
    <n v="196250"/>
    <n v="5887.5"/>
    <n v="190362.5"/>
    <n v="188400"/>
    <n v="1962.5"/>
    <x v="1"/>
    <n v="6"/>
    <s v="June"/>
    <x v="0"/>
    <n v="1.0309278350515464E-2"/>
    <n v="0.03"/>
    <s v="Large"/>
    <n v="0.98969072164948457"/>
    <s v="Profitable ✅"/>
  </r>
  <r>
    <x v="2"/>
    <x v="4"/>
    <x v="2"/>
    <x v="1"/>
    <n v="1369.5"/>
    <n v="10"/>
    <n v="12"/>
    <n v="16434"/>
    <n v="493.02"/>
    <n v="15940.98"/>
    <n v="4108.5"/>
    <n v="11832.48"/>
    <x v="4"/>
    <n v="7"/>
    <s v="July"/>
    <x v="0"/>
    <n v="0.74226804123711343"/>
    <n v="0.03"/>
    <s v="Medium"/>
    <n v="0.25773195876288663"/>
    <s v="Profitable ✅"/>
  </r>
  <r>
    <x v="3"/>
    <x v="0"/>
    <x v="2"/>
    <x v="1"/>
    <n v="2009"/>
    <n v="10"/>
    <n v="125"/>
    <n v="251125"/>
    <n v="7533.75"/>
    <n v="243591.25"/>
    <n v="241080"/>
    <n v="2511.25"/>
    <x v="10"/>
    <n v="10"/>
    <s v="October"/>
    <x v="0"/>
    <n v="1.0309278350515464E-2"/>
    <n v="0.03"/>
    <s v="Enterprise"/>
    <n v="0.98969072164948457"/>
    <s v="Profitable ✅"/>
  </r>
  <r>
    <x v="1"/>
    <x v="1"/>
    <x v="2"/>
    <x v="1"/>
    <n v="1945"/>
    <n v="10"/>
    <n v="15"/>
    <n v="29175"/>
    <n v="875.25"/>
    <n v="28299.75"/>
    <n v="19450"/>
    <n v="8849.75"/>
    <x v="7"/>
    <n v="10"/>
    <s v="October"/>
    <x v="1"/>
    <n v="0.3127147766323024"/>
    <n v="0.03"/>
    <s v="Medium"/>
    <n v="0.6872852233676976"/>
    <s v="Profitable ✅"/>
  </r>
  <r>
    <x v="3"/>
    <x v="2"/>
    <x v="2"/>
    <x v="1"/>
    <n v="1287"/>
    <n v="10"/>
    <n v="125"/>
    <n v="160875"/>
    <n v="4826.25"/>
    <n v="156048.75"/>
    <n v="154440"/>
    <n v="1608.75"/>
    <x v="2"/>
    <n v="12"/>
    <s v="December"/>
    <x v="0"/>
    <n v="1.0309278350515464E-2"/>
    <n v="0.03"/>
    <s v="Large"/>
    <n v="0.98969072164948457"/>
    <s v="Profitable ✅"/>
  </r>
  <r>
    <x v="3"/>
    <x v="1"/>
    <x v="2"/>
    <x v="1"/>
    <n v="1706"/>
    <n v="10"/>
    <n v="125"/>
    <n v="213250"/>
    <n v="6397.5"/>
    <n v="206852.5"/>
    <n v="204720"/>
    <n v="2132.5"/>
    <x v="2"/>
    <n v="12"/>
    <s v="December"/>
    <x v="0"/>
    <n v="1.0309278350515464E-2"/>
    <n v="0.03"/>
    <s v="Enterprise"/>
    <n v="0.98969072164948457"/>
    <s v="Profitable ✅"/>
  </r>
  <r>
    <x v="3"/>
    <x v="0"/>
    <x v="3"/>
    <x v="1"/>
    <n v="2009"/>
    <n v="120"/>
    <n v="125"/>
    <n v="251125"/>
    <n v="7533.75"/>
    <n v="243591.25"/>
    <n v="241080"/>
    <n v="2511.25"/>
    <x v="10"/>
    <n v="10"/>
    <s v="October"/>
    <x v="0"/>
    <n v="1.0309278350515464E-2"/>
    <n v="0.03"/>
    <s v="Enterprise"/>
    <n v="0.98969072164948457"/>
    <s v="Profitable ✅"/>
  </r>
  <r>
    <x v="4"/>
    <x v="4"/>
    <x v="4"/>
    <x v="1"/>
    <n v="2844"/>
    <n v="250"/>
    <n v="300"/>
    <n v="853200"/>
    <n v="25596"/>
    <n v="827604"/>
    <n v="711000"/>
    <n v="116604"/>
    <x v="8"/>
    <n v="2"/>
    <s v="February"/>
    <x v="0"/>
    <n v="0.14089347079037801"/>
    <n v="0.03"/>
    <s v="Enterprise"/>
    <n v="0.85910652920962194"/>
    <s v="Profitable ✅"/>
  </r>
  <r>
    <x v="2"/>
    <x v="3"/>
    <x v="4"/>
    <x v="1"/>
    <n v="1916"/>
    <n v="250"/>
    <n v="12"/>
    <n v="22992"/>
    <n v="689.76"/>
    <n v="22302.240000000002"/>
    <n v="5748"/>
    <n v="16554.240000000002"/>
    <x v="13"/>
    <n v="4"/>
    <s v="April"/>
    <x v="0"/>
    <n v="0.74226804123711343"/>
    <n v="0.03"/>
    <s v="Medium"/>
    <n v="0.25773195876288657"/>
    <s v="Profitable ✅"/>
  </r>
  <r>
    <x v="3"/>
    <x v="1"/>
    <x v="4"/>
    <x v="1"/>
    <n v="1570"/>
    <n v="250"/>
    <n v="125"/>
    <n v="196250"/>
    <n v="5887.5"/>
    <n v="190362.5"/>
    <n v="188400"/>
    <n v="1962.5"/>
    <x v="1"/>
    <n v="6"/>
    <s v="June"/>
    <x v="0"/>
    <n v="1.0309278350515464E-2"/>
    <n v="0.03"/>
    <s v="Large"/>
    <n v="0.98969072164948457"/>
    <s v="Profitable ✅"/>
  </r>
  <r>
    <x v="4"/>
    <x v="0"/>
    <x v="4"/>
    <x v="1"/>
    <n v="1874"/>
    <n v="250"/>
    <n v="300"/>
    <n v="562200"/>
    <n v="16866"/>
    <n v="545334"/>
    <n v="468500"/>
    <n v="76834"/>
    <x v="5"/>
    <n v="8"/>
    <s v="August"/>
    <x v="0"/>
    <n v="0.14089347079037801"/>
    <n v="0.03"/>
    <s v="Enterprise"/>
    <n v="0.85910652920962194"/>
    <s v="Profitable ✅"/>
  </r>
  <r>
    <x v="0"/>
    <x v="3"/>
    <x v="4"/>
    <x v="1"/>
    <n v="1642"/>
    <n v="250"/>
    <n v="350"/>
    <n v="574700"/>
    <n v="17241"/>
    <n v="557459"/>
    <n v="426920"/>
    <n v="130539"/>
    <x v="5"/>
    <n v="8"/>
    <s v="August"/>
    <x v="0"/>
    <n v="0.2341678939617084"/>
    <n v="0.03"/>
    <s v="Enterprise"/>
    <n v="0.76583210603829166"/>
    <s v="Profitable ✅"/>
  </r>
  <r>
    <x v="1"/>
    <x v="1"/>
    <x v="4"/>
    <x v="1"/>
    <n v="1945"/>
    <n v="250"/>
    <n v="15"/>
    <n v="29175"/>
    <n v="875.25"/>
    <n v="28299.75"/>
    <n v="19450"/>
    <n v="8849.75"/>
    <x v="7"/>
    <n v="10"/>
    <s v="October"/>
    <x v="1"/>
    <n v="0.3127147766323024"/>
    <n v="0.03"/>
    <s v="Medium"/>
    <n v="0.6872852233676976"/>
    <s v="Profitable ✅"/>
  </r>
  <r>
    <x v="0"/>
    <x v="0"/>
    <x v="0"/>
    <x v="1"/>
    <n v="831"/>
    <n v="3"/>
    <n v="20"/>
    <n v="16620"/>
    <n v="498.6"/>
    <n v="16121.4"/>
    <n v="8310"/>
    <n v="7811.4"/>
    <x v="14"/>
    <n v="5"/>
    <s v="May"/>
    <x v="0"/>
    <n v="0.4845360824742268"/>
    <n v="3.0000000000000002E-2"/>
    <s v="Medium"/>
    <n v="0.51546391752577325"/>
    <s v="Profitable ✅"/>
  </r>
  <r>
    <x v="0"/>
    <x v="3"/>
    <x v="2"/>
    <x v="1"/>
    <n v="1760"/>
    <n v="10"/>
    <n v="7"/>
    <n v="12320"/>
    <n v="369.6"/>
    <n v="11950.4"/>
    <n v="8800"/>
    <n v="3150.3999999999996"/>
    <x v="9"/>
    <n v="9"/>
    <s v="September"/>
    <x v="1"/>
    <n v="0.2636229749631811"/>
    <n v="3.0000000000000002E-2"/>
    <s v="Medium"/>
    <n v="0.7363770250368189"/>
    <s v="Profitable ✅"/>
  </r>
  <r>
    <x v="0"/>
    <x v="0"/>
    <x v="3"/>
    <x v="1"/>
    <n v="3850.5"/>
    <n v="120"/>
    <n v="20"/>
    <n v="77010"/>
    <n v="2310.3000000000002"/>
    <n v="74699.700000000012"/>
    <n v="38505"/>
    <n v="36194.700000000004"/>
    <x v="13"/>
    <n v="4"/>
    <s v="April"/>
    <x v="0"/>
    <n v="0.4845360824742268"/>
    <n v="3.0000000000000002E-2"/>
    <s v="Large"/>
    <n v="0.51546391752577314"/>
    <s v="Profitable ✅"/>
  </r>
  <r>
    <x v="2"/>
    <x v="1"/>
    <x v="4"/>
    <x v="1"/>
    <n v="2479"/>
    <n v="250"/>
    <n v="12"/>
    <n v="29748"/>
    <n v="892.44"/>
    <n v="28855.56"/>
    <n v="7437"/>
    <n v="21418.560000000001"/>
    <x v="0"/>
    <n v="1"/>
    <s v="January"/>
    <x v="0"/>
    <n v="0.74226804123711343"/>
    <n v="3.0000000000000002E-2"/>
    <s v="Medium"/>
    <n v="0.25773195876288657"/>
    <s v="Profitable ✅"/>
  </r>
  <r>
    <x v="1"/>
    <x v="3"/>
    <x v="1"/>
    <x v="1"/>
    <n v="2031"/>
    <n v="5"/>
    <n v="15"/>
    <n v="30465"/>
    <n v="1218.5999999999999"/>
    <n v="29246.400000000001"/>
    <n v="20310"/>
    <n v="8936.4000000000015"/>
    <x v="10"/>
    <n v="10"/>
    <s v="October"/>
    <x v="0"/>
    <n v="0.30555555555555558"/>
    <n v="3.9999999999999994E-2"/>
    <s v="Medium"/>
    <n v="0.69444444444444442"/>
    <s v="Profitable ✅"/>
  </r>
  <r>
    <x v="1"/>
    <x v="3"/>
    <x v="2"/>
    <x v="1"/>
    <n v="2031"/>
    <n v="10"/>
    <n v="15"/>
    <n v="30465"/>
    <n v="1218.5999999999999"/>
    <n v="29246.400000000001"/>
    <n v="20310"/>
    <n v="8936.4000000000015"/>
    <x v="10"/>
    <n v="10"/>
    <s v="October"/>
    <x v="0"/>
    <n v="0.30555555555555558"/>
    <n v="3.9999999999999994E-2"/>
    <s v="Medium"/>
    <n v="0.69444444444444442"/>
    <s v="Profitable ✅"/>
  </r>
  <r>
    <x v="1"/>
    <x v="2"/>
    <x v="2"/>
    <x v="1"/>
    <n v="2261"/>
    <n v="10"/>
    <n v="15"/>
    <n v="33915"/>
    <n v="1356.6"/>
    <n v="32558.400000000001"/>
    <n v="22610"/>
    <n v="9948.4000000000015"/>
    <x v="12"/>
    <n v="12"/>
    <s v="December"/>
    <x v="1"/>
    <n v="0.30555555555555558"/>
    <n v="3.9999999999999994E-2"/>
    <s v="Medium"/>
    <n v="0.69444444444444442"/>
    <s v="Profitable ✅"/>
  </r>
  <r>
    <x v="0"/>
    <x v="4"/>
    <x v="3"/>
    <x v="1"/>
    <n v="736"/>
    <n v="120"/>
    <n v="20"/>
    <n v="14720"/>
    <n v="588.79999999999995"/>
    <n v="14131.2"/>
    <n v="7360"/>
    <n v="6771.2000000000007"/>
    <x v="9"/>
    <n v="9"/>
    <s v="September"/>
    <x v="1"/>
    <n v="0.47916666666666669"/>
    <n v="3.9999999999999994E-2"/>
    <s v="Medium"/>
    <n v="0.52083333333333326"/>
    <s v="Profitable ✅"/>
  </r>
  <r>
    <x v="0"/>
    <x v="0"/>
    <x v="0"/>
    <x v="1"/>
    <n v="2851"/>
    <n v="3"/>
    <n v="7"/>
    <n v="19957"/>
    <n v="798.28"/>
    <n v="19158.72"/>
    <n v="14255"/>
    <n v="4903.7200000000012"/>
    <x v="7"/>
    <n v="10"/>
    <s v="October"/>
    <x v="1"/>
    <n v="0.25595238095238099"/>
    <n v="0.04"/>
    <s v="Medium"/>
    <n v="0.74404761904761896"/>
    <s v="Profitable ✅"/>
  </r>
  <r>
    <x v="4"/>
    <x v="1"/>
    <x v="0"/>
    <x v="1"/>
    <n v="2021"/>
    <n v="3"/>
    <n v="300"/>
    <n v="606300"/>
    <n v="24252"/>
    <n v="582048"/>
    <n v="505250"/>
    <n v="76798"/>
    <x v="10"/>
    <n v="10"/>
    <s v="October"/>
    <x v="0"/>
    <n v="0.13194444444444445"/>
    <n v="0.04"/>
    <s v="Enterprise"/>
    <n v="0.86805555555555558"/>
    <s v="Profitable ✅"/>
  </r>
  <r>
    <x v="0"/>
    <x v="4"/>
    <x v="0"/>
    <x v="1"/>
    <n v="274"/>
    <n v="3"/>
    <n v="350"/>
    <n v="95900"/>
    <n v="3836"/>
    <n v="92064"/>
    <n v="71240"/>
    <n v="20824"/>
    <x v="2"/>
    <n v="12"/>
    <s v="December"/>
    <x v="0"/>
    <n v="0.22619047619047619"/>
    <n v="0.04"/>
    <s v="Large"/>
    <n v="0.77380952380952384"/>
    <s v="Profitable ✅"/>
  </r>
  <r>
    <x v="1"/>
    <x v="0"/>
    <x v="1"/>
    <x v="1"/>
    <n v="1967"/>
    <n v="5"/>
    <n v="15"/>
    <n v="29505"/>
    <n v="1180.2"/>
    <n v="28324.799999999999"/>
    <n v="19670"/>
    <n v="8654.7999999999993"/>
    <x v="3"/>
    <n v="3"/>
    <s v="March"/>
    <x v="0"/>
    <n v="0.30555555555555552"/>
    <n v="0.04"/>
    <s v="Medium"/>
    <n v="0.69444444444444442"/>
    <s v="Profitable ✅"/>
  </r>
  <r>
    <x v="4"/>
    <x v="1"/>
    <x v="1"/>
    <x v="1"/>
    <n v="1859"/>
    <n v="5"/>
    <n v="300"/>
    <n v="557700"/>
    <n v="22308"/>
    <n v="535392"/>
    <n v="464750"/>
    <n v="70642"/>
    <x v="5"/>
    <n v="8"/>
    <s v="August"/>
    <x v="0"/>
    <n v="0.13194444444444445"/>
    <n v="0.04"/>
    <s v="Enterprise"/>
    <n v="0.86805555555555558"/>
    <s v="Profitable ✅"/>
  </r>
  <r>
    <x v="0"/>
    <x v="0"/>
    <x v="1"/>
    <x v="1"/>
    <n v="2851"/>
    <n v="5"/>
    <n v="7"/>
    <n v="19957"/>
    <n v="798.28"/>
    <n v="19158.72"/>
    <n v="14255"/>
    <n v="4903.7200000000012"/>
    <x v="7"/>
    <n v="10"/>
    <s v="October"/>
    <x v="1"/>
    <n v="0.25595238095238099"/>
    <n v="0.04"/>
    <s v="Medium"/>
    <n v="0.74404761904761896"/>
    <s v="Profitable ✅"/>
  </r>
  <r>
    <x v="4"/>
    <x v="1"/>
    <x v="1"/>
    <x v="1"/>
    <n v="2021"/>
    <n v="5"/>
    <n v="300"/>
    <n v="606300"/>
    <n v="24252"/>
    <n v="582048"/>
    <n v="505250"/>
    <n v="76798"/>
    <x v="10"/>
    <n v="10"/>
    <s v="October"/>
    <x v="0"/>
    <n v="0.13194444444444445"/>
    <n v="0.04"/>
    <s v="Enterprise"/>
    <n v="0.86805555555555558"/>
    <s v="Profitable ✅"/>
  </r>
  <r>
    <x v="3"/>
    <x v="3"/>
    <x v="1"/>
    <x v="1"/>
    <n v="1138"/>
    <n v="5"/>
    <n v="125"/>
    <n v="142250"/>
    <n v="5690"/>
    <n v="136560"/>
    <n v="136560"/>
    <n v="0"/>
    <x v="2"/>
    <n v="12"/>
    <s v="December"/>
    <x v="0"/>
    <n v="0"/>
    <n v="0.04"/>
    <s v="Large"/>
    <n v="1"/>
    <s v="Breakeven ⚖️"/>
  </r>
  <r>
    <x v="0"/>
    <x v="0"/>
    <x v="2"/>
    <x v="1"/>
    <n v="4251"/>
    <n v="10"/>
    <n v="7"/>
    <n v="29757"/>
    <n v="1190.28"/>
    <n v="28566.720000000001"/>
    <n v="21255"/>
    <n v="7311.7199999999993"/>
    <x v="0"/>
    <n v="1"/>
    <s v="January"/>
    <x v="0"/>
    <n v="0.25595238095238093"/>
    <n v="0.04"/>
    <s v="Medium"/>
    <n v="0.74404761904761907"/>
    <s v="Profitable ✅"/>
  </r>
  <r>
    <x v="3"/>
    <x v="1"/>
    <x v="2"/>
    <x v="1"/>
    <n v="795"/>
    <n v="10"/>
    <n v="125"/>
    <n v="99375"/>
    <n v="3975"/>
    <n v="95400"/>
    <n v="95400"/>
    <n v="0"/>
    <x v="3"/>
    <n v="3"/>
    <s v="March"/>
    <x v="0"/>
    <n v="0"/>
    <n v="0.04"/>
    <s v="Large"/>
    <n v="1"/>
    <s v="Breakeven ⚖️"/>
  </r>
  <r>
    <x v="4"/>
    <x v="1"/>
    <x v="2"/>
    <x v="1"/>
    <n v="1414.5"/>
    <n v="10"/>
    <n v="300"/>
    <n v="424350"/>
    <n v="16974"/>
    <n v="407376"/>
    <n v="353625"/>
    <n v="53751"/>
    <x v="13"/>
    <n v="4"/>
    <s v="April"/>
    <x v="0"/>
    <n v="0.13194444444444445"/>
    <n v="0.04"/>
    <s v="Enterprise"/>
    <n v="0.86805555555555558"/>
    <s v="Profitable ✅"/>
  </r>
  <r>
    <x v="4"/>
    <x v="4"/>
    <x v="2"/>
    <x v="1"/>
    <n v="2918"/>
    <n v="10"/>
    <n v="300"/>
    <n v="875400"/>
    <n v="35016"/>
    <n v="840384"/>
    <n v="729500"/>
    <n v="110884"/>
    <x v="14"/>
    <n v="5"/>
    <s v="May"/>
    <x v="0"/>
    <n v="0.13194444444444445"/>
    <n v="0.04"/>
    <s v="Enterprise"/>
    <n v="0.86805555555555558"/>
    <s v="Profitable ✅"/>
  </r>
  <r>
    <x v="0"/>
    <x v="4"/>
    <x v="2"/>
    <x v="1"/>
    <n v="3450"/>
    <n v="10"/>
    <n v="350"/>
    <n v="1207500"/>
    <n v="48300"/>
    <n v="1159200"/>
    <n v="897000"/>
    <n v="262200"/>
    <x v="4"/>
    <n v="7"/>
    <s v="July"/>
    <x v="0"/>
    <n v="0.22619047619047619"/>
    <n v="0.04"/>
    <s v="Enterprise"/>
    <n v="0.77380952380952384"/>
    <s v="Profitable ✅"/>
  </r>
  <r>
    <x v="3"/>
    <x v="2"/>
    <x v="2"/>
    <x v="1"/>
    <n v="2988"/>
    <n v="10"/>
    <n v="125"/>
    <n v="373500"/>
    <n v="14940"/>
    <n v="358560"/>
    <n v="358560"/>
    <n v="0"/>
    <x v="4"/>
    <n v="7"/>
    <s v="July"/>
    <x v="0"/>
    <n v="0"/>
    <n v="0.04"/>
    <s v="Enterprise"/>
    <n v="1"/>
    <s v="Breakeven ⚖️"/>
  </r>
  <r>
    <x v="1"/>
    <x v="0"/>
    <x v="2"/>
    <x v="1"/>
    <n v="218"/>
    <n v="10"/>
    <n v="15"/>
    <n v="3270"/>
    <n v="130.80000000000001"/>
    <n v="3139.2"/>
    <n v="2180"/>
    <n v="959.19999999999982"/>
    <x v="6"/>
    <n v="9"/>
    <s v="September"/>
    <x v="0"/>
    <n v="0.30555555555555552"/>
    <n v="0.04"/>
    <s v="Small"/>
    <n v="0.69444444444444453"/>
    <s v="Profitable ✅"/>
  </r>
  <r>
    <x v="0"/>
    <x v="0"/>
    <x v="2"/>
    <x v="1"/>
    <n v="2074"/>
    <n v="10"/>
    <n v="20"/>
    <n v="41480"/>
    <n v="1659.2"/>
    <n v="39820.800000000003"/>
    <n v="20740"/>
    <n v="19080.800000000003"/>
    <x v="6"/>
    <n v="9"/>
    <s v="September"/>
    <x v="0"/>
    <n v="0.47916666666666669"/>
    <n v="0.04"/>
    <s v="Medium"/>
    <n v="0.52083333333333326"/>
    <s v="Profitable ✅"/>
  </r>
  <r>
    <x v="0"/>
    <x v="4"/>
    <x v="2"/>
    <x v="1"/>
    <n v="1056"/>
    <n v="10"/>
    <n v="20"/>
    <n v="21120"/>
    <n v="844.8"/>
    <n v="20275.2"/>
    <n v="10560"/>
    <n v="9715.2000000000007"/>
    <x v="6"/>
    <n v="9"/>
    <s v="September"/>
    <x v="0"/>
    <n v="0.47916666666666669"/>
    <n v="0.04"/>
    <s v="Medium"/>
    <n v="0.52083333333333326"/>
    <s v="Profitable ✅"/>
  </r>
  <r>
    <x v="1"/>
    <x v="4"/>
    <x v="2"/>
    <x v="1"/>
    <n v="671"/>
    <n v="10"/>
    <n v="15"/>
    <n v="10065"/>
    <n v="402.6"/>
    <n v="9662.4"/>
    <n v="6710"/>
    <n v="2952.3999999999996"/>
    <x v="7"/>
    <n v="10"/>
    <s v="October"/>
    <x v="1"/>
    <n v="0.30555555555555552"/>
    <n v="0.04"/>
    <s v="Small"/>
    <n v="0.69444444444444442"/>
    <s v="Profitable ✅"/>
  </r>
  <r>
    <x v="1"/>
    <x v="3"/>
    <x v="2"/>
    <x v="1"/>
    <n v="1514"/>
    <n v="10"/>
    <n v="15"/>
    <n v="22710"/>
    <n v="908.4"/>
    <n v="21801.599999999999"/>
    <n v="15140"/>
    <n v="6661.5999999999985"/>
    <x v="7"/>
    <n v="10"/>
    <s v="October"/>
    <x v="1"/>
    <n v="0.30555555555555552"/>
    <n v="0.04"/>
    <s v="Medium"/>
    <n v="0.69444444444444453"/>
    <s v="Profitable ✅"/>
  </r>
  <r>
    <x v="0"/>
    <x v="4"/>
    <x v="2"/>
    <x v="1"/>
    <n v="274"/>
    <n v="10"/>
    <n v="350"/>
    <n v="95900"/>
    <n v="3836"/>
    <n v="92064"/>
    <n v="71240"/>
    <n v="20824"/>
    <x v="2"/>
    <n v="12"/>
    <s v="December"/>
    <x v="0"/>
    <n v="0.22619047619047619"/>
    <n v="0.04"/>
    <s v="Large"/>
    <n v="0.77380952380952384"/>
    <s v="Profitable ✅"/>
  </r>
  <r>
    <x v="3"/>
    <x v="3"/>
    <x v="2"/>
    <x v="1"/>
    <n v="1138"/>
    <n v="10"/>
    <n v="125"/>
    <n v="142250"/>
    <n v="5690"/>
    <n v="136560"/>
    <n v="136560"/>
    <n v="0"/>
    <x v="2"/>
    <n v="12"/>
    <s v="December"/>
    <x v="0"/>
    <n v="0"/>
    <n v="0.04"/>
    <s v="Large"/>
    <n v="1"/>
    <s v="Breakeven ⚖️"/>
  </r>
  <r>
    <x v="2"/>
    <x v="4"/>
    <x v="3"/>
    <x v="1"/>
    <n v="1465"/>
    <n v="120"/>
    <n v="12"/>
    <n v="17580"/>
    <n v="703.2"/>
    <n v="16876.8"/>
    <n v="4395"/>
    <n v="12481.8"/>
    <x v="3"/>
    <n v="3"/>
    <s v="March"/>
    <x v="0"/>
    <n v="0.73958333333333337"/>
    <n v="0.04"/>
    <s v="Medium"/>
    <n v="0.26041666666666669"/>
    <s v="Profitable ✅"/>
  </r>
  <r>
    <x v="0"/>
    <x v="0"/>
    <x v="3"/>
    <x v="1"/>
    <n v="2646"/>
    <n v="120"/>
    <n v="20"/>
    <n v="52920"/>
    <n v="2116.8000000000002"/>
    <n v="50803.199999999997"/>
    <n v="26460"/>
    <n v="24343.199999999997"/>
    <x v="9"/>
    <n v="9"/>
    <s v="September"/>
    <x v="1"/>
    <n v="0.47916666666666663"/>
    <n v="0.04"/>
    <s v="Large"/>
    <n v="0.52083333333333337"/>
    <s v="Profitable ✅"/>
  </r>
  <r>
    <x v="0"/>
    <x v="2"/>
    <x v="3"/>
    <x v="1"/>
    <n v="2177"/>
    <n v="120"/>
    <n v="350"/>
    <n v="761950"/>
    <n v="30478"/>
    <n v="731472"/>
    <n v="566020"/>
    <n v="165452"/>
    <x v="10"/>
    <n v="10"/>
    <s v="October"/>
    <x v="0"/>
    <n v="0.22619047619047619"/>
    <n v="0.04"/>
    <s v="Enterprise"/>
    <n v="0.77380952380952384"/>
    <s v="Profitable ✅"/>
  </r>
  <r>
    <x v="2"/>
    <x v="2"/>
    <x v="4"/>
    <x v="1"/>
    <n v="866"/>
    <n v="250"/>
    <n v="12"/>
    <n v="10392"/>
    <n v="415.68"/>
    <n v="9976.32"/>
    <n v="2598"/>
    <n v="7378.32"/>
    <x v="14"/>
    <n v="5"/>
    <s v="May"/>
    <x v="0"/>
    <n v="0.73958333333333337"/>
    <n v="0.04"/>
    <s v="Small"/>
    <n v="0.26041666666666669"/>
    <s v="Profitable ✅"/>
  </r>
  <r>
    <x v="0"/>
    <x v="4"/>
    <x v="4"/>
    <x v="1"/>
    <n v="349"/>
    <n v="250"/>
    <n v="350"/>
    <n v="122150"/>
    <n v="4886"/>
    <n v="117264"/>
    <n v="90740"/>
    <n v="26524"/>
    <x v="9"/>
    <n v="9"/>
    <s v="September"/>
    <x v="1"/>
    <n v="0.22619047619047619"/>
    <n v="0.04"/>
    <s v="Large"/>
    <n v="0.77380952380952384"/>
    <s v="Profitable ✅"/>
  </r>
  <r>
    <x v="0"/>
    <x v="2"/>
    <x v="4"/>
    <x v="1"/>
    <n v="2177"/>
    <n v="250"/>
    <n v="350"/>
    <n v="761950"/>
    <n v="30478"/>
    <n v="731472"/>
    <n v="566020"/>
    <n v="165452"/>
    <x v="10"/>
    <n v="10"/>
    <s v="October"/>
    <x v="0"/>
    <n v="0.22619047619047619"/>
    <n v="0.04"/>
    <s v="Enterprise"/>
    <n v="0.77380952380952384"/>
    <s v="Profitable ✅"/>
  </r>
  <r>
    <x v="1"/>
    <x v="3"/>
    <x v="4"/>
    <x v="1"/>
    <n v="1514"/>
    <n v="250"/>
    <n v="15"/>
    <n v="22710"/>
    <n v="908.4"/>
    <n v="21801.599999999999"/>
    <n v="15140"/>
    <n v="6661.5999999999985"/>
    <x v="7"/>
    <n v="10"/>
    <s v="October"/>
    <x v="1"/>
    <n v="0.30555555555555552"/>
    <n v="0.04"/>
    <s v="Medium"/>
    <n v="0.69444444444444453"/>
    <s v="Profitable ✅"/>
  </r>
  <r>
    <x v="0"/>
    <x v="3"/>
    <x v="5"/>
    <x v="1"/>
    <n v="1865"/>
    <n v="260"/>
    <n v="350"/>
    <n v="652750"/>
    <n v="26110"/>
    <n v="626640"/>
    <n v="484900"/>
    <n v="141740"/>
    <x v="8"/>
    <n v="2"/>
    <s v="February"/>
    <x v="0"/>
    <n v="0.22619047619047619"/>
    <n v="0.04"/>
    <s v="Enterprise"/>
    <n v="0.77380952380952384"/>
    <s v="Profitable ✅"/>
  </r>
  <r>
    <x v="3"/>
    <x v="3"/>
    <x v="5"/>
    <x v="1"/>
    <n v="1074"/>
    <n v="260"/>
    <n v="125"/>
    <n v="134250"/>
    <n v="5370"/>
    <n v="128880"/>
    <n v="128880"/>
    <n v="0"/>
    <x v="13"/>
    <n v="4"/>
    <s v="April"/>
    <x v="0"/>
    <n v="0"/>
    <n v="0.04"/>
    <s v="Large"/>
    <n v="1"/>
    <s v="Breakeven ⚖️"/>
  </r>
  <r>
    <x v="0"/>
    <x v="1"/>
    <x v="5"/>
    <x v="1"/>
    <n v="1907"/>
    <n v="260"/>
    <n v="350"/>
    <n v="667450"/>
    <n v="26698"/>
    <n v="640752"/>
    <n v="495820"/>
    <n v="144932"/>
    <x v="6"/>
    <n v="9"/>
    <s v="September"/>
    <x v="0"/>
    <n v="0.22619047619047619"/>
    <n v="0.04"/>
    <s v="Enterprise"/>
    <n v="0.77380952380952384"/>
    <s v="Profitable ✅"/>
  </r>
  <r>
    <x v="1"/>
    <x v="4"/>
    <x v="5"/>
    <x v="1"/>
    <n v="671"/>
    <n v="260"/>
    <n v="15"/>
    <n v="10065"/>
    <n v="402.6"/>
    <n v="9662.4"/>
    <n v="6710"/>
    <n v="2952.3999999999996"/>
    <x v="7"/>
    <n v="10"/>
    <s v="October"/>
    <x v="1"/>
    <n v="0.30555555555555552"/>
    <n v="0.04"/>
    <s v="Small"/>
    <n v="0.69444444444444442"/>
    <s v="Profitable ✅"/>
  </r>
  <r>
    <x v="0"/>
    <x v="0"/>
    <x v="5"/>
    <x v="1"/>
    <n v="1778"/>
    <n v="260"/>
    <n v="350"/>
    <n v="622300"/>
    <n v="24892"/>
    <n v="597408"/>
    <n v="462280"/>
    <n v="135128"/>
    <x v="12"/>
    <n v="12"/>
    <s v="December"/>
    <x v="1"/>
    <n v="0.22619047619047619"/>
    <n v="0.04"/>
    <s v="Enterprise"/>
    <n v="0.77380952380952384"/>
    <s v="Profitable ✅"/>
  </r>
  <r>
    <x v="0"/>
    <x v="1"/>
    <x v="1"/>
    <x v="2"/>
    <n v="1159"/>
    <n v="5"/>
    <n v="7"/>
    <n v="8113"/>
    <n v="405.65"/>
    <n v="7707.35"/>
    <n v="5795"/>
    <n v="1912.3500000000004"/>
    <x v="7"/>
    <n v="10"/>
    <s v="October"/>
    <x v="1"/>
    <n v="0.24812030075187974"/>
    <n v="4.9999999999999996E-2"/>
    <s v="Small"/>
    <n v="0.75187969924812026"/>
    <s v="Profitable ✅"/>
  </r>
  <r>
    <x v="0"/>
    <x v="1"/>
    <x v="2"/>
    <x v="2"/>
    <n v="1372"/>
    <n v="10"/>
    <n v="7"/>
    <n v="9604"/>
    <n v="480.2"/>
    <n v="9123.7999999999993"/>
    <n v="6860"/>
    <n v="2263.7999999999993"/>
    <x v="0"/>
    <n v="1"/>
    <s v="January"/>
    <x v="0"/>
    <n v="0.24812030075187963"/>
    <n v="4.9999999999999996E-2"/>
    <s v="Small"/>
    <n v="0.75187969924812037"/>
    <s v="Profitable ✅"/>
  </r>
  <r>
    <x v="0"/>
    <x v="0"/>
    <x v="2"/>
    <x v="2"/>
    <n v="2349"/>
    <n v="10"/>
    <n v="7"/>
    <n v="16443"/>
    <n v="822.15"/>
    <n v="15620.85"/>
    <n v="11745"/>
    <n v="3875.8500000000004"/>
    <x v="9"/>
    <n v="9"/>
    <s v="September"/>
    <x v="1"/>
    <n v="0.24812030075187971"/>
    <n v="4.9999999999999996E-2"/>
    <s v="Medium"/>
    <n v="0.75187969924812026"/>
    <s v="Profitable ✅"/>
  </r>
  <r>
    <x v="0"/>
    <x v="3"/>
    <x v="2"/>
    <x v="2"/>
    <n v="2689"/>
    <n v="10"/>
    <n v="7"/>
    <n v="18823"/>
    <n v="941.15"/>
    <n v="17881.849999999999"/>
    <n v="13445"/>
    <n v="4436.8499999999985"/>
    <x v="10"/>
    <n v="10"/>
    <s v="October"/>
    <x v="0"/>
    <n v="0.24812030075187963"/>
    <n v="4.9999999999999996E-2"/>
    <s v="Medium"/>
    <n v="0.75187969924812037"/>
    <s v="Profitable ✅"/>
  </r>
  <r>
    <x v="2"/>
    <x v="0"/>
    <x v="2"/>
    <x v="2"/>
    <n v="2431"/>
    <n v="10"/>
    <n v="12"/>
    <n v="29172"/>
    <n v="1458.6"/>
    <n v="27713.4"/>
    <n v="7293"/>
    <n v="20420.400000000001"/>
    <x v="2"/>
    <n v="12"/>
    <s v="December"/>
    <x v="0"/>
    <n v="0.73684210526315785"/>
    <n v="4.9999999999999996E-2"/>
    <s v="Medium"/>
    <n v="0.26315789473684209"/>
    <s v="Profitable ✅"/>
  </r>
  <r>
    <x v="2"/>
    <x v="0"/>
    <x v="3"/>
    <x v="2"/>
    <n v="2431"/>
    <n v="120"/>
    <n v="12"/>
    <n v="29172"/>
    <n v="1458.6"/>
    <n v="27713.4"/>
    <n v="7293"/>
    <n v="20420.400000000001"/>
    <x v="2"/>
    <n v="12"/>
    <s v="December"/>
    <x v="0"/>
    <n v="0.73684210526315785"/>
    <n v="4.9999999999999996E-2"/>
    <s v="Medium"/>
    <n v="0.26315789473684209"/>
    <s v="Profitable ✅"/>
  </r>
  <r>
    <x v="0"/>
    <x v="3"/>
    <x v="4"/>
    <x v="2"/>
    <n v="2689"/>
    <n v="250"/>
    <n v="7"/>
    <n v="18823"/>
    <n v="941.15"/>
    <n v="17881.849999999999"/>
    <n v="13445"/>
    <n v="4436.8499999999985"/>
    <x v="10"/>
    <n v="10"/>
    <s v="October"/>
    <x v="0"/>
    <n v="0.24812030075187963"/>
    <n v="4.9999999999999996E-2"/>
    <s v="Medium"/>
    <n v="0.75187969924812037"/>
    <s v="Profitable ✅"/>
  </r>
  <r>
    <x v="0"/>
    <x v="3"/>
    <x v="5"/>
    <x v="2"/>
    <n v="1683"/>
    <n v="260"/>
    <n v="7"/>
    <n v="11781"/>
    <n v="589.04999999999995"/>
    <n v="11191.95"/>
    <n v="8415"/>
    <n v="2776.9500000000007"/>
    <x v="4"/>
    <n v="7"/>
    <s v="July"/>
    <x v="0"/>
    <n v="0.24812030075187974"/>
    <n v="4.9999999999999996E-2"/>
    <s v="Medium"/>
    <n v="0.75187969924812026"/>
    <s v="Profitable ✅"/>
  </r>
  <r>
    <x v="2"/>
    <x v="3"/>
    <x v="5"/>
    <x v="2"/>
    <n v="1123"/>
    <n v="260"/>
    <n v="12"/>
    <n v="13476"/>
    <n v="673.8"/>
    <n v="12802.2"/>
    <n v="3369"/>
    <n v="9433.2000000000007"/>
    <x v="5"/>
    <n v="8"/>
    <s v="August"/>
    <x v="0"/>
    <n v="0.73684210526315796"/>
    <n v="4.9999999999999996E-2"/>
    <s v="Medium"/>
    <n v="0.26315789473684209"/>
    <s v="Profitable ✅"/>
  </r>
  <r>
    <x v="0"/>
    <x v="1"/>
    <x v="5"/>
    <x v="2"/>
    <n v="1159"/>
    <n v="260"/>
    <n v="7"/>
    <n v="8113"/>
    <n v="405.65"/>
    <n v="7707.35"/>
    <n v="5795"/>
    <n v="1912.3500000000004"/>
    <x v="7"/>
    <n v="10"/>
    <s v="October"/>
    <x v="1"/>
    <n v="0.24812030075187974"/>
    <n v="4.9999999999999996E-2"/>
    <s v="Small"/>
    <n v="0.75187969924812026"/>
    <s v="Profitable ✅"/>
  </r>
  <r>
    <x v="2"/>
    <x v="2"/>
    <x v="0"/>
    <x v="2"/>
    <n v="1865"/>
    <n v="3"/>
    <n v="12"/>
    <n v="22380"/>
    <n v="1119"/>
    <n v="21261"/>
    <n v="5595"/>
    <n v="15666"/>
    <x v="8"/>
    <n v="2"/>
    <s v="February"/>
    <x v="0"/>
    <n v="0.73684210526315785"/>
    <n v="0.05"/>
    <s v="Medium"/>
    <n v="0.26315789473684209"/>
    <s v="Profitable ✅"/>
  </r>
  <r>
    <x v="2"/>
    <x v="1"/>
    <x v="0"/>
    <x v="2"/>
    <n v="1116"/>
    <n v="3"/>
    <n v="12"/>
    <n v="13392"/>
    <n v="669.6"/>
    <n v="12722.4"/>
    <n v="3348"/>
    <n v="9374.4"/>
    <x v="8"/>
    <n v="2"/>
    <s v="February"/>
    <x v="0"/>
    <n v="0.73684210526315785"/>
    <n v="0.05"/>
    <s v="Medium"/>
    <n v="0.26315789473684209"/>
    <s v="Profitable ✅"/>
  </r>
  <r>
    <x v="0"/>
    <x v="2"/>
    <x v="0"/>
    <x v="2"/>
    <n v="1563"/>
    <n v="3"/>
    <n v="20"/>
    <n v="31260"/>
    <n v="1563"/>
    <n v="29697"/>
    <n v="15630"/>
    <n v="14067"/>
    <x v="14"/>
    <n v="5"/>
    <s v="May"/>
    <x v="0"/>
    <n v="0.47368421052631576"/>
    <n v="0.05"/>
    <s v="Medium"/>
    <n v="0.52631578947368418"/>
    <s v="Profitable ✅"/>
  </r>
  <r>
    <x v="4"/>
    <x v="4"/>
    <x v="0"/>
    <x v="2"/>
    <n v="991"/>
    <n v="3"/>
    <n v="300"/>
    <n v="297300"/>
    <n v="14865"/>
    <n v="282435"/>
    <n v="247750"/>
    <n v="34685"/>
    <x v="1"/>
    <n v="6"/>
    <s v="June"/>
    <x v="0"/>
    <n v="0.12280701754385964"/>
    <n v="0.05"/>
    <s v="Enterprise"/>
    <n v="0.8771929824561403"/>
    <s v="Profitable ✅"/>
  </r>
  <r>
    <x v="0"/>
    <x v="1"/>
    <x v="0"/>
    <x v="2"/>
    <n v="1016"/>
    <n v="3"/>
    <n v="7"/>
    <n v="7112"/>
    <n v="355.6"/>
    <n v="6756.4"/>
    <n v="5080"/>
    <n v="1676.3999999999996"/>
    <x v="11"/>
    <n v="11"/>
    <s v="November"/>
    <x v="1"/>
    <n v="0.24812030075187966"/>
    <n v="0.05"/>
    <s v="Small"/>
    <n v="0.75187969924812037"/>
    <s v="Profitable ✅"/>
  </r>
  <r>
    <x v="1"/>
    <x v="3"/>
    <x v="0"/>
    <x v="2"/>
    <n v="2791"/>
    <n v="3"/>
    <n v="15"/>
    <n v="41865"/>
    <n v="2093.25"/>
    <n v="39771.75"/>
    <n v="27910"/>
    <n v="11861.75"/>
    <x v="15"/>
    <n v="11"/>
    <s v="November"/>
    <x v="0"/>
    <n v="0.2982456140350877"/>
    <n v="0.05"/>
    <s v="Medium"/>
    <n v="0.70175438596491224"/>
    <s v="Profitable ✅"/>
  </r>
  <r>
    <x v="0"/>
    <x v="4"/>
    <x v="0"/>
    <x v="2"/>
    <n v="570"/>
    <n v="3"/>
    <n v="7"/>
    <n v="3990"/>
    <n v="199.5"/>
    <n v="3790.5"/>
    <n v="2850"/>
    <n v="940.5"/>
    <x v="2"/>
    <n v="12"/>
    <s v="December"/>
    <x v="0"/>
    <n v="0.24812030075187969"/>
    <n v="0.05"/>
    <s v="Small"/>
    <n v="0.75187969924812026"/>
    <s v="Profitable ✅"/>
  </r>
  <r>
    <x v="0"/>
    <x v="2"/>
    <x v="0"/>
    <x v="2"/>
    <n v="2487"/>
    <n v="3"/>
    <n v="7"/>
    <n v="17409"/>
    <n v="870.45"/>
    <n v="16538.55"/>
    <n v="12435"/>
    <n v="4103.5499999999993"/>
    <x v="2"/>
    <n v="12"/>
    <s v="December"/>
    <x v="0"/>
    <n v="0.24812030075187966"/>
    <n v="0.05"/>
    <s v="Medium"/>
    <n v="0.75187969924812037"/>
    <s v="Profitable ✅"/>
  </r>
  <r>
    <x v="0"/>
    <x v="2"/>
    <x v="1"/>
    <x v="2"/>
    <n v="1384.5"/>
    <n v="5"/>
    <n v="350"/>
    <n v="484575"/>
    <n v="24228.75"/>
    <n v="460346.25"/>
    <n v="359970"/>
    <n v="100376.25"/>
    <x v="0"/>
    <n v="1"/>
    <s v="January"/>
    <x v="0"/>
    <n v="0.21804511278195488"/>
    <n v="0.05"/>
    <s v="Enterprise"/>
    <n v="0.78195488721804507"/>
    <s v="Profitable ✅"/>
  </r>
  <r>
    <x v="3"/>
    <x v="4"/>
    <x v="1"/>
    <x v="2"/>
    <n v="3627"/>
    <n v="5"/>
    <n v="125"/>
    <n v="453375"/>
    <n v="22668.75"/>
    <n v="430706.25"/>
    <n v="435240"/>
    <n v="-4533.75"/>
    <x v="4"/>
    <n v="7"/>
    <s v="July"/>
    <x v="0"/>
    <n v="-1.0526315789473684E-2"/>
    <n v="0.05"/>
    <s v="Enterprise"/>
    <n v="1.0105263157894737"/>
    <s v="Loss ❌"/>
  </r>
  <r>
    <x v="0"/>
    <x v="3"/>
    <x v="1"/>
    <x v="2"/>
    <n v="720"/>
    <n v="5"/>
    <n v="350"/>
    <n v="252000"/>
    <n v="12600"/>
    <n v="239400"/>
    <n v="187200"/>
    <n v="52200"/>
    <x v="9"/>
    <n v="9"/>
    <s v="September"/>
    <x v="1"/>
    <n v="0.21804511278195488"/>
    <n v="0.05"/>
    <s v="Enterprise"/>
    <n v="0.78195488721804507"/>
    <s v="Profitable ✅"/>
  </r>
  <r>
    <x v="2"/>
    <x v="1"/>
    <x v="1"/>
    <x v="2"/>
    <n v="2342"/>
    <n v="5"/>
    <n v="12"/>
    <n v="28104"/>
    <n v="1405.2"/>
    <n v="26698.799999999999"/>
    <n v="7026"/>
    <n v="19672.8"/>
    <x v="15"/>
    <n v="11"/>
    <s v="November"/>
    <x v="0"/>
    <n v="0.73684210526315785"/>
    <n v="0.05"/>
    <s v="Medium"/>
    <n v="0.26315789473684209"/>
    <s v="Profitable ✅"/>
  </r>
  <r>
    <x v="4"/>
    <x v="3"/>
    <x v="1"/>
    <x v="2"/>
    <n v="1100"/>
    <n v="5"/>
    <n v="300"/>
    <n v="330000"/>
    <n v="16500"/>
    <n v="313500"/>
    <n v="275000"/>
    <n v="38500"/>
    <x v="12"/>
    <n v="12"/>
    <s v="December"/>
    <x v="1"/>
    <n v="0.12280701754385964"/>
    <n v="0.05"/>
    <s v="Enterprise"/>
    <n v="0.8771929824561403"/>
    <s v="Profitable ✅"/>
  </r>
  <r>
    <x v="0"/>
    <x v="2"/>
    <x v="2"/>
    <x v="2"/>
    <n v="1303"/>
    <n v="10"/>
    <n v="20"/>
    <n v="26060"/>
    <n v="1303"/>
    <n v="24757"/>
    <n v="13030"/>
    <n v="11727"/>
    <x v="8"/>
    <n v="2"/>
    <s v="February"/>
    <x v="0"/>
    <n v="0.47368421052631576"/>
    <n v="0.05"/>
    <s v="Medium"/>
    <n v="0.52631578947368418"/>
    <s v="Profitable ✅"/>
  </r>
  <r>
    <x v="3"/>
    <x v="4"/>
    <x v="2"/>
    <x v="2"/>
    <n v="2992"/>
    <n v="10"/>
    <n v="125"/>
    <n v="374000"/>
    <n v="18700"/>
    <n v="355300"/>
    <n v="359040"/>
    <n v="-3740"/>
    <x v="3"/>
    <n v="3"/>
    <s v="March"/>
    <x v="0"/>
    <n v="-1.0526315789473684E-2"/>
    <n v="0.05"/>
    <s v="Enterprise"/>
    <n v="1.0105263157894737"/>
    <s v="Loss ❌"/>
  </r>
  <r>
    <x v="3"/>
    <x v="2"/>
    <x v="2"/>
    <x v="2"/>
    <n v="2385"/>
    <n v="10"/>
    <n v="125"/>
    <n v="298125"/>
    <n v="14906.25"/>
    <n v="283218.75"/>
    <n v="286200"/>
    <n v="-2981.25"/>
    <x v="3"/>
    <n v="3"/>
    <s v="March"/>
    <x v="0"/>
    <n v="-1.0526315789473684E-2"/>
    <n v="0.05"/>
    <s v="Enterprise"/>
    <n v="1.0105263157894737"/>
    <s v="Loss ❌"/>
  </r>
  <r>
    <x v="4"/>
    <x v="3"/>
    <x v="2"/>
    <x v="2"/>
    <n v="1607"/>
    <n v="10"/>
    <n v="300"/>
    <n v="482100"/>
    <n v="24105"/>
    <n v="457995"/>
    <n v="401750"/>
    <n v="56245"/>
    <x v="13"/>
    <n v="4"/>
    <s v="April"/>
    <x v="0"/>
    <n v="0.12280701754385964"/>
    <n v="0.05"/>
    <s v="Enterprise"/>
    <n v="0.8771929824561403"/>
    <s v="Profitable ✅"/>
  </r>
  <r>
    <x v="0"/>
    <x v="4"/>
    <x v="2"/>
    <x v="2"/>
    <n v="2327"/>
    <n v="10"/>
    <n v="7"/>
    <n v="16289"/>
    <n v="814.45"/>
    <n v="15474.55"/>
    <n v="11635"/>
    <n v="3839.5499999999993"/>
    <x v="14"/>
    <n v="5"/>
    <s v="May"/>
    <x v="0"/>
    <n v="0.24812030075187966"/>
    <n v="0.05"/>
    <s v="Medium"/>
    <n v="0.75187969924812037"/>
    <s v="Profitable ✅"/>
  </r>
  <r>
    <x v="4"/>
    <x v="4"/>
    <x v="2"/>
    <x v="2"/>
    <n v="991"/>
    <n v="10"/>
    <n v="300"/>
    <n v="297300"/>
    <n v="14865"/>
    <n v="282435"/>
    <n v="247750"/>
    <n v="34685"/>
    <x v="1"/>
    <n v="6"/>
    <s v="June"/>
    <x v="0"/>
    <n v="0.12280701754385964"/>
    <n v="0.05"/>
    <s v="Enterprise"/>
    <n v="0.8771929824561403"/>
    <s v="Profitable ✅"/>
  </r>
  <r>
    <x v="0"/>
    <x v="4"/>
    <x v="2"/>
    <x v="2"/>
    <n v="602"/>
    <n v="10"/>
    <n v="350"/>
    <n v="210700"/>
    <n v="10535"/>
    <n v="200165"/>
    <n v="156520"/>
    <n v="43645"/>
    <x v="1"/>
    <n v="6"/>
    <s v="June"/>
    <x v="0"/>
    <n v="0.21804511278195488"/>
    <n v="0.05"/>
    <s v="Enterprise"/>
    <n v="0.78195488721804507"/>
    <s v="Profitable ✅"/>
  </r>
  <r>
    <x v="1"/>
    <x v="2"/>
    <x v="2"/>
    <x v="2"/>
    <n v="2620"/>
    <n v="10"/>
    <n v="15"/>
    <n v="39300"/>
    <n v="1965"/>
    <n v="37335"/>
    <n v="26200"/>
    <n v="11135"/>
    <x v="6"/>
    <n v="9"/>
    <s v="September"/>
    <x v="0"/>
    <n v="0.2982456140350877"/>
    <n v="0.05"/>
    <s v="Medium"/>
    <n v="0.70175438596491224"/>
    <s v="Profitable ✅"/>
  </r>
  <r>
    <x v="0"/>
    <x v="0"/>
    <x v="2"/>
    <x v="2"/>
    <n v="1228"/>
    <n v="10"/>
    <n v="350"/>
    <n v="429800"/>
    <n v="21490"/>
    <n v="408310"/>
    <n v="319280"/>
    <n v="89030"/>
    <x v="7"/>
    <n v="10"/>
    <s v="October"/>
    <x v="1"/>
    <n v="0.21804511278195488"/>
    <n v="0.05"/>
    <s v="Enterprise"/>
    <n v="0.78195488721804507"/>
    <s v="Profitable ✅"/>
  </r>
  <r>
    <x v="0"/>
    <x v="0"/>
    <x v="2"/>
    <x v="2"/>
    <n v="1389"/>
    <n v="10"/>
    <n v="20"/>
    <n v="27780"/>
    <n v="1389"/>
    <n v="26391"/>
    <n v="13890"/>
    <n v="12501"/>
    <x v="7"/>
    <n v="10"/>
    <s v="October"/>
    <x v="1"/>
    <n v="0.47368421052631576"/>
    <n v="0.05"/>
    <s v="Medium"/>
    <n v="0.52631578947368418"/>
    <s v="Profitable ✅"/>
  </r>
  <r>
    <x v="3"/>
    <x v="4"/>
    <x v="2"/>
    <x v="2"/>
    <n v="861"/>
    <n v="10"/>
    <n v="125"/>
    <n v="107625"/>
    <n v="5381.25"/>
    <n v="102243.75"/>
    <n v="103320"/>
    <n v="-1076.25"/>
    <x v="10"/>
    <n v="10"/>
    <s v="October"/>
    <x v="0"/>
    <n v="-1.0526315789473684E-2"/>
    <n v="0.05"/>
    <s v="Large"/>
    <n v="1.0105263157894737"/>
    <s v="Loss ❌"/>
  </r>
  <r>
    <x v="3"/>
    <x v="2"/>
    <x v="2"/>
    <x v="2"/>
    <n v="704"/>
    <n v="10"/>
    <n v="125"/>
    <n v="88000"/>
    <n v="4400"/>
    <n v="83600"/>
    <n v="84480"/>
    <n v="-880"/>
    <x v="7"/>
    <n v="10"/>
    <s v="October"/>
    <x v="1"/>
    <n v="-1.0526315789473684E-2"/>
    <n v="0.05"/>
    <s v="Large"/>
    <n v="1.0105263157894737"/>
    <s v="Loss ❌"/>
  </r>
  <r>
    <x v="0"/>
    <x v="0"/>
    <x v="2"/>
    <x v="2"/>
    <n v="1802"/>
    <n v="10"/>
    <n v="20"/>
    <n v="36040"/>
    <n v="1802"/>
    <n v="34238"/>
    <n v="18020"/>
    <n v="16218"/>
    <x v="12"/>
    <n v="12"/>
    <s v="December"/>
    <x v="1"/>
    <n v="0.47368421052631576"/>
    <n v="0.05"/>
    <s v="Medium"/>
    <n v="0.52631578947368418"/>
    <s v="Profitable ✅"/>
  </r>
  <r>
    <x v="0"/>
    <x v="4"/>
    <x v="2"/>
    <x v="2"/>
    <n v="2663"/>
    <n v="10"/>
    <n v="20"/>
    <n v="53260"/>
    <n v="2663"/>
    <n v="50597"/>
    <n v="26630"/>
    <n v="23967"/>
    <x v="2"/>
    <n v="12"/>
    <s v="December"/>
    <x v="0"/>
    <n v="0.47368421052631576"/>
    <n v="0.05"/>
    <s v="Large"/>
    <n v="0.52631578947368418"/>
    <s v="Profitable ✅"/>
  </r>
  <r>
    <x v="0"/>
    <x v="2"/>
    <x v="2"/>
    <x v="2"/>
    <n v="2136"/>
    <n v="10"/>
    <n v="7"/>
    <n v="14952"/>
    <n v="747.6"/>
    <n v="14204.4"/>
    <n v="10680"/>
    <n v="3524.3999999999996"/>
    <x v="12"/>
    <n v="12"/>
    <s v="December"/>
    <x v="1"/>
    <n v="0.24812030075187969"/>
    <n v="0.05"/>
    <s v="Medium"/>
    <n v="0.75187969924812037"/>
    <s v="Profitable ✅"/>
  </r>
  <r>
    <x v="1"/>
    <x v="1"/>
    <x v="2"/>
    <x v="2"/>
    <n v="2116"/>
    <n v="10"/>
    <n v="15"/>
    <n v="31740"/>
    <n v="1587"/>
    <n v="30153"/>
    <n v="21160"/>
    <n v="8993"/>
    <x v="12"/>
    <n v="12"/>
    <s v="December"/>
    <x v="1"/>
    <n v="0.2982456140350877"/>
    <n v="0.05"/>
    <s v="Medium"/>
    <n v="0.70175438596491224"/>
    <s v="Profitable ✅"/>
  </r>
  <r>
    <x v="1"/>
    <x v="4"/>
    <x v="3"/>
    <x v="2"/>
    <n v="555"/>
    <n v="120"/>
    <n v="15"/>
    <n v="8325"/>
    <n v="416.25"/>
    <n v="7908.75"/>
    <n v="5550"/>
    <n v="2358.75"/>
    <x v="0"/>
    <n v="1"/>
    <s v="January"/>
    <x v="0"/>
    <n v="0.2982456140350877"/>
    <n v="0.05"/>
    <s v="Small"/>
    <n v="0.70175438596491224"/>
    <s v="Profitable ✅"/>
  </r>
  <r>
    <x v="1"/>
    <x v="3"/>
    <x v="3"/>
    <x v="2"/>
    <n v="2861"/>
    <n v="120"/>
    <n v="15"/>
    <n v="42915"/>
    <n v="2145.75"/>
    <n v="40769.25"/>
    <n v="28610"/>
    <n v="12159.25"/>
    <x v="0"/>
    <n v="1"/>
    <s v="January"/>
    <x v="0"/>
    <n v="0.2982456140350877"/>
    <n v="0.05"/>
    <s v="Medium"/>
    <n v="0.70175438596491224"/>
    <s v="Profitable ✅"/>
  </r>
  <r>
    <x v="3"/>
    <x v="1"/>
    <x v="3"/>
    <x v="2"/>
    <n v="807"/>
    <n v="120"/>
    <n v="125"/>
    <n v="100875"/>
    <n v="5043.75"/>
    <n v="95831.25"/>
    <n v="96840"/>
    <n v="-1008.75"/>
    <x v="8"/>
    <n v="2"/>
    <s v="February"/>
    <x v="0"/>
    <n v="-1.0526315789473684E-2"/>
    <n v="0.05"/>
    <s v="Large"/>
    <n v="1.0105263157894737"/>
    <s v="Loss ❌"/>
  </r>
  <r>
    <x v="0"/>
    <x v="4"/>
    <x v="3"/>
    <x v="2"/>
    <n v="602"/>
    <n v="120"/>
    <n v="350"/>
    <n v="210700"/>
    <n v="10535"/>
    <n v="200165"/>
    <n v="156520"/>
    <n v="43645"/>
    <x v="1"/>
    <n v="6"/>
    <s v="June"/>
    <x v="0"/>
    <n v="0.21804511278195488"/>
    <n v="0.05"/>
    <s v="Enterprise"/>
    <n v="0.78195488721804507"/>
    <s v="Profitable ✅"/>
  </r>
  <r>
    <x v="0"/>
    <x v="4"/>
    <x v="3"/>
    <x v="2"/>
    <n v="2832"/>
    <n v="120"/>
    <n v="20"/>
    <n v="56640"/>
    <n v="2832"/>
    <n v="53808"/>
    <n v="28320"/>
    <n v="25488"/>
    <x v="5"/>
    <n v="8"/>
    <s v="August"/>
    <x v="0"/>
    <n v="0.47368421052631576"/>
    <n v="0.05"/>
    <s v="Large"/>
    <n v="0.52631578947368418"/>
    <s v="Profitable ✅"/>
  </r>
  <r>
    <x v="0"/>
    <x v="2"/>
    <x v="3"/>
    <x v="2"/>
    <n v="1579"/>
    <n v="120"/>
    <n v="20"/>
    <n v="31580"/>
    <n v="1579"/>
    <n v="30001"/>
    <n v="15790"/>
    <n v="14211"/>
    <x v="5"/>
    <n v="8"/>
    <s v="August"/>
    <x v="0"/>
    <n v="0.47368421052631576"/>
    <n v="0.05"/>
    <s v="Medium"/>
    <n v="0.52631578947368418"/>
    <s v="Profitable ✅"/>
  </r>
  <r>
    <x v="3"/>
    <x v="4"/>
    <x v="3"/>
    <x v="2"/>
    <n v="861"/>
    <n v="120"/>
    <n v="125"/>
    <n v="107625"/>
    <n v="5381.25"/>
    <n v="102243.75"/>
    <n v="103320"/>
    <n v="-1076.25"/>
    <x v="10"/>
    <n v="10"/>
    <s v="October"/>
    <x v="0"/>
    <n v="-1.0526315789473684E-2"/>
    <n v="0.05"/>
    <s v="Large"/>
    <n v="1.0105263157894737"/>
    <s v="Loss ❌"/>
  </r>
  <r>
    <x v="3"/>
    <x v="2"/>
    <x v="3"/>
    <x v="2"/>
    <n v="704"/>
    <n v="120"/>
    <n v="125"/>
    <n v="88000"/>
    <n v="4400"/>
    <n v="83600"/>
    <n v="84480"/>
    <n v="-880"/>
    <x v="7"/>
    <n v="10"/>
    <s v="October"/>
    <x v="1"/>
    <n v="-1.0526315789473684E-2"/>
    <n v="0.05"/>
    <s v="Large"/>
    <n v="1.0105263157894737"/>
    <s v="Loss ❌"/>
  </r>
  <r>
    <x v="0"/>
    <x v="2"/>
    <x v="3"/>
    <x v="2"/>
    <n v="1033"/>
    <n v="120"/>
    <n v="20"/>
    <n v="20660"/>
    <n v="1033"/>
    <n v="19627"/>
    <n v="10330"/>
    <n v="9297"/>
    <x v="12"/>
    <n v="12"/>
    <s v="December"/>
    <x v="1"/>
    <n v="0.47368421052631576"/>
    <n v="0.05"/>
    <s v="Medium"/>
    <n v="0.52631578947368418"/>
    <s v="Profitable ✅"/>
  </r>
  <r>
    <x v="4"/>
    <x v="1"/>
    <x v="3"/>
    <x v="2"/>
    <n v="1250"/>
    <n v="120"/>
    <n v="300"/>
    <n v="375000"/>
    <n v="18750"/>
    <n v="356250"/>
    <n v="312500"/>
    <n v="43750"/>
    <x v="2"/>
    <n v="12"/>
    <s v="December"/>
    <x v="0"/>
    <n v="0.12280701754385964"/>
    <n v="0.05"/>
    <s v="Enterprise"/>
    <n v="0.8771929824561403"/>
    <s v="Profitable ✅"/>
  </r>
  <r>
    <x v="0"/>
    <x v="0"/>
    <x v="4"/>
    <x v="2"/>
    <n v="1389"/>
    <n v="250"/>
    <n v="20"/>
    <n v="27780"/>
    <n v="1389"/>
    <n v="26391"/>
    <n v="13890"/>
    <n v="12501"/>
    <x v="7"/>
    <n v="10"/>
    <s v="October"/>
    <x v="1"/>
    <n v="0.47368421052631576"/>
    <n v="0.05"/>
    <s v="Medium"/>
    <n v="0.52631578947368418"/>
    <s v="Profitable ✅"/>
  </r>
  <r>
    <x v="0"/>
    <x v="4"/>
    <x v="4"/>
    <x v="2"/>
    <n v="1265"/>
    <n v="250"/>
    <n v="20"/>
    <n v="25300"/>
    <n v="1265"/>
    <n v="24035"/>
    <n v="12650"/>
    <n v="11385"/>
    <x v="11"/>
    <n v="11"/>
    <s v="November"/>
    <x v="1"/>
    <n v="0.47368421052631576"/>
    <n v="0.05"/>
    <s v="Medium"/>
    <n v="0.52631578947368418"/>
    <s v="Profitable ✅"/>
  </r>
  <r>
    <x v="0"/>
    <x v="1"/>
    <x v="4"/>
    <x v="2"/>
    <n v="2297"/>
    <n v="250"/>
    <n v="20"/>
    <n v="45940"/>
    <n v="2297"/>
    <n v="43643"/>
    <n v="22970"/>
    <n v="20673"/>
    <x v="11"/>
    <n v="11"/>
    <s v="November"/>
    <x v="1"/>
    <n v="0.47368421052631576"/>
    <n v="0.05"/>
    <s v="Medium"/>
    <n v="0.52631578947368418"/>
    <s v="Profitable ✅"/>
  </r>
  <r>
    <x v="0"/>
    <x v="4"/>
    <x v="4"/>
    <x v="2"/>
    <n v="2663"/>
    <n v="250"/>
    <n v="20"/>
    <n v="53260"/>
    <n v="2663"/>
    <n v="50597"/>
    <n v="26630"/>
    <n v="23967"/>
    <x v="2"/>
    <n v="12"/>
    <s v="December"/>
    <x v="0"/>
    <n v="0.47368421052631576"/>
    <n v="0.05"/>
    <s v="Large"/>
    <n v="0.52631578947368418"/>
    <s v="Profitable ✅"/>
  </r>
  <r>
    <x v="0"/>
    <x v="4"/>
    <x v="4"/>
    <x v="2"/>
    <n v="570"/>
    <n v="250"/>
    <n v="7"/>
    <n v="3990"/>
    <n v="199.5"/>
    <n v="3790.5"/>
    <n v="2850"/>
    <n v="940.5"/>
    <x v="2"/>
    <n v="12"/>
    <s v="December"/>
    <x v="0"/>
    <n v="0.24812030075187969"/>
    <n v="0.05"/>
    <s v="Small"/>
    <n v="0.75187969924812026"/>
    <s v="Profitable ✅"/>
  </r>
  <r>
    <x v="0"/>
    <x v="2"/>
    <x v="4"/>
    <x v="2"/>
    <n v="2487"/>
    <n v="250"/>
    <n v="7"/>
    <n v="17409"/>
    <n v="870.45"/>
    <n v="16538.55"/>
    <n v="12435"/>
    <n v="4103.5499999999993"/>
    <x v="2"/>
    <n v="12"/>
    <s v="December"/>
    <x v="0"/>
    <n v="0.24812030075187966"/>
    <n v="0.05"/>
    <s v="Medium"/>
    <n v="0.75187969924812037"/>
    <s v="Profitable ✅"/>
  </r>
  <r>
    <x v="0"/>
    <x v="1"/>
    <x v="5"/>
    <x v="2"/>
    <n v="1350"/>
    <n v="260"/>
    <n v="350"/>
    <n v="472500"/>
    <n v="23625"/>
    <n v="448875"/>
    <n v="351000"/>
    <n v="97875"/>
    <x v="8"/>
    <n v="2"/>
    <s v="February"/>
    <x v="0"/>
    <n v="0.21804511278195488"/>
    <n v="0.05"/>
    <s v="Enterprise"/>
    <n v="0.78195488721804507"/>
    <s v="Profitable ✅"/>
  </r>
  <r>
    <x v="0"/>
    <x v="0"/>
    <x v="5"/>
    <x v="2"/>
    <n v="552"/>
    <n v="260"/>
    <n v="350"/>
    <n v="193200"/>
    <n v="9660"/>
    <n v="183540"/>
    <n v="143520"/>
    <n v="40020"/>
    <x v="5"/>
    <n v="8"/>
    <s v="August"/>
    <x v="0"/>
    <n v="0.21804511278195488"/>
    <n v="0.05"/>
    <s v="Large"/>
    <n v="0.78195488721804507"/>
    <s v="Profitable ✅"/>
  </r>
  <r>
    <x v="0"/>
    <x v="0"/>
    <x v="5"/>
    <x v="2"/>
    <n v="1228"/>
    <n v="260"/>
    <n v="350"/>
    <n v="429800"/>
    <n v="21490"/>
    <n v="408310"/>
    <n v="319280"/>
    <n v="89030"/>
    <x v="7"/>
    <n v="10"/>
    <s v="October"/>
    <x v="1"/>
    <n v="0.21804511278195488"/>
    <n v="0.05"/>
    <s v="Enterprise"/>
    <n v="0.78195488721804507"/>
    <s v="Profitable ✅"/>
  </r>
  <r>
    <x v="4"/>
    <x v="1"/>
    <x v="5"/>
    <x v="2"/>
    <n v="1250"/>
    <n v="260"/>
    <n v="300"/>
    <n v="375000"/>
    <n v="18750"/>
    <n v="356250"/>
    <n v="312500"/>
    <n v="43750"/>
    <x v="2"/>
    <n v="12"/>
    <s v="December"/>
    <x v="0"/>
    <n v="0.12280701754385964"/>
    <n v="0.05"/>
    <s v="Enterprise"/>
    <n v="0.8771929824561403"/>
    <s v="Profitable ✅"/>
  </r>
  <r>
    <x v="1"/>
    <x v="2"/>
    <x v="2"/>
    <x v="2"/>
    <n v="3801"/>
    <n v="10"/>
    <n v="15"/>
    <n v="57015"/>
    <n v="3420.8999999999996"/>
    <n v="53594.100000000006"/>
    <n v="38010"/>
    <n v="15584.100000000002"/>
    <x v="13"/>
    <n v="4"/>
    <s v="April"/>
    <x v="0"/>
    <n v="0.29078014184397166"/>
    <n v="5.9999999999999991E-2"/>
    <s v="Large"/>
    <n v="0.70921985815602828"/>
    <s v="Profitable ✅"/>
  </r>
  <r>
    <x v="0"/>
    <x v="4"/>
    <x v="0"/>
    <x v="2"/>
    <n v="1117.5"/>
    <n v="3"/>
    <n v="20"/>
    <n v="22350"/>
    <n v="1341"/>
    <n v="21009"/>
    <n v="11175"/>
    <n v="9834"/>
    <x v="0"/>
    <n v="1"/>
    <s v="January"/>
    <x v="0"/>
    <n v="0.46808510638297873"/>
    <n v="0.06"/>
    <s v="Medium"/>
    <n v="0.53191489361702127"/>
    <s v="Profitable ✅"/>
  </r>
  <r>
    <x v="1"/>
    <x v="0"/>
    <x v="0"/>
    <x v="2"/>
    <n v="2844"/>
    <n v="3"/>
    <n v="15"/>
    <n v="42660"/>
    <n v="2559.6"/>
    <n v="40100.400000000001"/>
    <n v="28440"/>
    <n v="11660.400000000001"/>
    <x v="1"/>
    <n v="6"/>
    <s v="June"/>
    <x v="0"/>
    <n v="0.29078014184397166"/>
    <n v="0.06"/>
    <s v="Medium"/>
    <n v="0.70921985815602839"/>
    <s v="Profitable ✅"/>
  </r>
  <r>
    <x v="2"/>
    <x v="3"/>
    <x v="0"/>
    <x v="2"/>
    <n v="562"/>
    <n v="3"/>
    <n v="12"/>
    <n v="6744"/>
    <n v="404.64"/>
    <n v="6339.36"/>
    <n v="1686"/>
    <n v="4653.3599999999997"/>
    <x v="6"/>
    <n v="9"/>
    <s v="September"/>
    <x v="0"/>
    <n v="0.73404255319148937"/>
    <n v="0.06"/>
    <s v="Small"/>
    <n v="0.26595744680851063"/>
    <s v="Profitable ✅"/>
  </r>
  <r>
    <x v="2"/>
    <x v="0"/>
    <x v="0"/>
    <x v="2"/>
    <n v="2299"/>
    <n v="3"/>
    <n v="12"/>
    <n v="27588"/>
    <n v="1655.28"/>
    <n v="25932.720000000001"/>
    <n v="6897"/>
    <n v="19035.72"/>
    <x v="7"/>
    <n v="10"/>
    <s v="October"/>
    <x v="1"/>
    <n v="0.73404255319148937"/>
    <n v="0.06"/>
    <s v="Medium"/>
    <n v="0.26595744680851063"/>
    <s v="Profitable ✅"/>
  </r>
  <r>
    <x v="1"/>
    <x v="4"/>
    <x v="0"/>
    <x v="2"/>
    <n v="2030"/>
    <n v="3"/>
    <n v="15"/>
    <n v="30450"/>
    <n v="1827"/>
    <n v="28623"/>
    <n v="20300"/>
    <n v="8323"/>
    <x v="15"/>
    <n v="11"/>
    <s v="November"/>
    <x v="0"/>
    <n v="0.29078014184397161"/>
    <n v="0.06"/>
    <s v="Medium"/>
    <n v="0.70921985815602839"/>
    <s v="Profitable ✅"/>
  </r>
  <r>
    <x v="0"/>
    <x v="4"/>
    <x v="0"/>
    <x v="2"/>
    <n v="263"/>
    <n v="3"/>
    <n v="7"/>
    <n v="1841"/>
    <n v="110.46"/>
    <n v="1730.54"/>
    <n v="1315"/>
    <n v="415.53999999999996"/>
    <x v="11"/>
    <n v="11"/>
    <s v="November"/>
    <x v="1"/>
    <n v="0.24012158054711244"/>
    <n v="0.06"/>
    <s v="Small"/>
    <n v="0.75987841945288759"/>
    <s v="Profitable ✅"/>
  </r>
  <r>
    <x v="3"/>
    <x v="1"/>
    <x v="0"/>
    <x v="2"/>
    <n v="887"/>
    <n v="3"/>
    <n v="125"/>
    <n v="110875"/>
    <n v="6652.5"/>
    <n v="104222.5"/>
    <n v="106440"/>
    <n v="-2217.5"/>
    <x v="12"/>
    <n v="12"/>
    <s v="December"/>
    <x v="1"/>
    <n v="-2.1276595744680851E-2"/>
    <n v="0.06"/>
    <s v="Large"/>
    <n v="1.0212765957446808"/>
    <s v="Loss ❌"/>
  </r>
  <r>
    <x v="0"/>
    <x v="3"/>
    <x v="1"/>
    <x v="2"/>
    <n v="980"/>
    <n v="5"/>
    <n v="350"/>
    <n v="343000"/>
    <n v="20580"/>
    <n v="322420"/>
    <n v="254800"/>
    <n v="67620"/>
    <x v="13"/>
    <n v="4"/>
    <s v="April"/>
    <x v="0"/>
    <n v="0.20972644376899696"/>
    <n v="0.06"/>
    <s v="Enterprise"/>
    <n v="0.79027355623100304"/>
    <s v="Profitable ✅"/>
  </r>
  <r>
    <x v="0"/>
    <x v="1"/>
    <x v="1"/>
    <x v="2"/>
    <n v="1460"/>
    <n v="5"/>
    <n v="350"/>
    <n v="511000"/>
    <n v="30660"/>
    <n v="480340"/>
    <n v="379600"/>
    <n v="100740"/>
    <x v="14"/>
    <n v="5"/>
    <s v="May"/>
    <x v="0"/>
    <n v="0.20972644376899696"/>
    <n v="0.06"/>
    <s v="Enterprise"/>
    <n v="0.79027355623100304"/>
    <s v="Profitable ✅"/>
  </r>
  <r>
    <x v="0"/>
    <x v="2"/>
    <x v="1"/>
    <x v="2"/>
    <n v="1403"/>
    <n v="5"/>
    <n v="7"/>
    <n v="9821"/>
    <n v="589.26"/>
    <n v="9231.74"/>
    <n v="7015"/>
    <n v="2216.7399999999998"/>
    <x v="7"/>
    <n v="10"/>
    <s v="October"/>
    <x v="1"/>
    <n v="0.24012158054711244"/>
    <n v="0.06"/>
    <s v="Small"/>
    <n v="0.75987841945288759"/>
    <s v="Profitable ✅"/>
  </r>
  <r>
    <x v="2"/>
    <x v="4"/>
    <x v="1"/>
    <x v="2"/>
    <n v="2723"/>
    <n v="5"/>
    <n v="12"/>
    <n v="32676"/>
    <n v="1960.56"/>
    <n v="30715.439999999999"/>
    <n v="8169"/>
    <n v="22546.44"/>
    <x v="15"/>
    <n v="11"/>
    <s v="November"/>
    <x v="0"/>
    <n v="0.73404255319148937"/>
    <n v="0.06"/>
    <s v="Medium"/>
    <n v="0.26595744680851063"/>
    <s v="Profitable ✅"/>
  </r>
  <r>
    <x v="0"/>
    <x v="2"/>
    <x v="2"/>
    <x v="2"/>
    <n v="1496"/>
    <n v="10"/>
    <n v="350"/>
    <n v="523600"/>
    <n v="31416"/>
    <n v="492184"/>
    <n v="388960"/>
    <n v="103224"/>
    <x v="1"/>
    <n v="6"/>
    <s v="June"/>
    <x v="0"/>
    <n v="0.20972644376899696"/>
    <n v="0.06"/>
    <s v="Enterprise"/>
    <n v="0.79027355623100304"/>
    <s v="Profitable ✅"/>
  </r>
  <r>
    <x v="2"/>
    <x v="0"/>
    <x v="2"/>
    <x v="2"/>
    <n v="2299"/>
    <n v="10"/>
    <n v="12"/>
    <n v="27588"/>
    <n v="1655.28"/>
    <n v="25932.720000000001"/>
    <n v="6897"/>
    <n v="19035.72"/>
    <x v="7"/>
    <n v="10"/>
    <s v="October"/>
    <x v="1"/>
    <n v="0.73404255319148937"/>
    <n v="0.06"/>
    <s v="Medium"/>
    <n v="0.26595744680851063"/>
    <s v="Profitable ✅"/>
  </r>
  <r>
    <x v="0"/>
    <x v="4"/>
    <x v="2"/>
    <x v="2"/>
    <n v="727"/>
    <n v="10"/>
    <n v="350"/>
    <n v="254450"/>
    <n v="15267"/>
    <n v="239183"/>
    <n v="189020"/>
    <n v="50163"/>
    <x v="7"/>
    <n v="10"/>
    <s v="October"/>
    <x v="1"/>
    <n v="0.20972644376899696"/>
    <n v="0.06"/>
    <s v="Enterprise"/>
    <n v="0.79027355623100304"/>
    <s v="Profitable ✅"/>
  </r>
  <r>
    <x v="3"/>
    <x v="0"/>
    <x v="3"/>
    <x v="2"/>
    <n v="952"/>
    <n v="120"/>
    <n v="125"/>
    <n v="119000"/>
    <n v="7140"/>
    <n v="111860"/>
    <n v="114240"/>
    <n v="-2380"/>
    <x v="8"/>
    <n v="2"/>
    <s v="February"/>
    <x v="0"/>
    <n v="-2.1276595744680851E-2"/>
    <n v="0.06"/>
    <s v="Large"/>
    <n v="1.0212765957446808"/>
    <s v="Loss ❌"/>
  </r>
  <r>
    <x v="3"/>
    <x v="4"/>
    <x v="3"/>
    <x v="2"/>
    <n v="2755"/>
    <n v="120"/>
    <n v="125"/>
    <n v="344375"/>
    <n v="20662.5"/>
    <n v="323712.5"/>
    <n v="330600"/>
    <n v="-6887.5"/>
    <x v="8"/>
    <n v="2"/>
    <s v="February"/>
    <x v="0"/>
    <n v="-2.1276595744680851E-2"/>
    <n v="0.06"/>
    <s v="Enterprise"/>
    <n v="1.0212765957446808"/>
    <s v="Loss ❌"/>
  </r>
  <r>
    <x v="1"/>
    <x v="1"/>
    <x v="3"/>
    <x v="2"/>
    <n v="1530"/>
    <n v="120"/>
    <n v="15"/>
    <n v="22950"/>
    <n v="1377"/>
    <n v="21573"/>
    <n v="15300"/>
    <n v="6273"/>
    <x v="14"/>
    <n v="5"/>
    <s v="May"/>
    <x v="0"/>
    <n v="0.29078014184397161"/>
    <n v="0.06"/>
    <s v="Medium"/>
    <n v="0.70921985815602839"/>
    <s v="Profitable ✅"/>
  </r>
  <r>
    <x v="0"/>
    <x v="2"/>
    <x v="3"/>
    <x v="2"/>
    <n v="1496"/>
    <n v="120"/>
    <n v="350"/>
    <n v="523600"/>
    <n v="31416"/>
    <n v="492184"/>
    <n v="388960"/>
    <n v="103224"/>
    <x v="1"/>
    <n v="6"/>
    <s v="June"/>
    <x v="0"/>
    <n v="0.20972644376899696"/>
    <n v="0.06"/>
    <s v="Enterprise"/>
    <n v="0.79027355623100304"/>
    <s v="Profitable ✅"/>
  </r>
  <r>
    <x v="0"/>
    <x v="3"/>
    <x v="3"/>
    <x v="2"/>
    <n v="1498"/>
    <n v="120"/>
    <n v="7"/>
    <n v="10486"/>
    <n v="629.16"/>
    <n v="9856.84"/>
    <n v="7490"/>
    <n v="2366.84"/>
    <x v="1"/>
    <n v="6"/>
    <s v="June"/>
    <x v="0"/>
    <n v="0.24012158054711247"/>
    <n v="0.06"/>
    <s v="Small"/>
    <n v="0.75987841945288748"/>
    <s v="Profitable ✅"/>
  </r>
  <r>
    <x v="4"/>
    <x v="2"/>
    <x v="3"/>
    <x v="2"/>
    <n v="1221"/>
    <n v="120"/>
    <n v="300"/>
    <n v="366300"/>
    <n v="21978"/>
    <n v="344322"/>
    <n v="305250"/>
    <n v="39072"/>
    <x v="7"/>
    <n v="10"/>
    <s v="October"/>
    <x v="1"/>
    <n v="0.11347517730496454"/>
    <n v="0.06"/>
    <s v="Enterprise"/>
    <n v="0.88652482269503541"/>
    <s v="Profitable ✅"/>
  </r>
  <r>
    <x v="0"/>
    <x v="2"/>
    <x v="3"/>
    <x v="2"/>
    <n v="2076"/>
    <n v="120"/>
    <n v="350"/>
    <n v="726600"/>
    <n v="43596"/>
    <n v="683004"/>
    <n v="539760"/>
    <n v="143244"/>
    <x v="7"/>
    <n v="10"/>
    <s v="October"/>
    <x v="1"/>
    <n v="0.20972644376899696"/>
    <n v="0.06"/>
    <s v="Enterprise"/>
    <n v="0.79027355623100304"/>
    <s v="Profitable ✅"/>
  </r>
  <r>
    <x v="1"/>
    <x v="0"/>
    <x v="4"/>
    <x v="2"/>
    <n v="2844"/>
    <n v="250"/>
    <n v="15"/>
    <n v="42660"/>
    <n v="2559.6"/>
    <n v="40100.400000000001"/>
    <n v="28440"/>
    <n v="11660.400000000001"/>
    <x v="1"/>
    <n v="6"/>
    <s v="June"/>
    <x v="0"/>
    <n v="0.29078014184397166"/>
    <n v="0.06"/>
    <s v="Medium"/>
    <n v="0.70921985815602839"/>
    <s v="Profitable ✅"/>
  </r>
  <r>
    <x v="0"/>
    <x v="3"/>
    <x v="4"/>
    <x v="2"/>
    <n v="1498"/>
    <n v="250"/>
    <n v="7"/>
    <n v="10486"/>
    <n v="629.16"/>
    <n v="9856.84"/>
    <n v="7490"/>
    <n v="2366.84"/>
    <x v="1"/>
    <n v="6"/>
    <s v="June"/>
    <x v="0"/>
    <n v="0.24012158054711247"/>
    <n v="0.06"/>
    <s v="Small"/>
    <n v="0.75987841945288748"/>
    <s v="Profitable ✅"/>
  </r>
  <r>
    <x v="4"/>
    <x v="2"/>
    <x v="4"/>
    <x v="2"/>
    <n v="1221"/>
    <n v="250"/>
    <n v="300"/>
    <n v="366300"/>
    <n v="21978"/>
    <n v="344322"/>
    <n v="305250"/>
    <n v="39072"/>
    <x v="7"/>
    <n v="10"/>
    <s v="October"/>
    <x v="1"/>
    <n v="0.11347517730496454"/>
    <n v="0.06"/>
    <s v="Enterprise"/>
    <n v="0.88652482269503541"/>
    <s v="Profitable ✅"/>
  </r>
  <r>
    <x v="0"/>
    <x v="3"/>
    <x v="4"/>
    <x v="2"/>
    <n v="1123"/>
    <n v="250"/>
    <n v="20"/>
    <n v="22460"/>
    <n v="1347.6"/>
    <n v="21112.400000000001"/>
    <n v="11230"/>
    <n v="9882.4000000000015"/>
    <x v="11"/>
    <n v="11"/>
    <s v="November"/>
    <x v="1"/>
    <n v="0.46808510638297873"/>
    <n v="0.06"/>
    <s v="Medium"/>
    <n v="0.53191489361702127"/>
    <s v="Profitable ✅"/>
  </r>
  <r>
    <x v="4"/>
    <x v="0"/>
    <x v="4"/>
    <x v="2"/>
    <n v="2436"/>
    <n v="250"/>
    <n v="300"/>
    <n v="730800"/>
    <n v="43848"/>
    <n v="686952"/>
    <n v="609000"/>
    <n v="77952"/>
    <x v="12"/>
    <n v="12"/>
    <s v="December"/>
    <x v="1"/>
    <n v="0.11347517730496454"/>
    <n v="0.06"/>
    <s v="Enterprise"/>
    <n v="0.88652482269503541"/>
    <s v="Profitable ✅"/>
  </r>
  <r>
    <x v="3"/>
    <x v="2"/>
    <x v="5"/>
    <x v="2"/>
    <n v="1987.5"/>
    <n v="260"/>
    <n v="125"/>
    <n v="248437.5"/>
    <n v="14906.25"/>
    <n v="233531.25"/>
    <n v="238500"/>
    <n v="-4968.75"/>
    <x v="0"/>
    <n v="1"/>
    <s v="January"/>
    <x v="0"/>
    <n v="-2.1276595744680851E-2"/>
    <n v="0.06"/>
    <s v="Enterprise"/>
    <n v="1.0212765957446808"/>
    <s v="Loss ❌"/>
  </r>
  <r>
    <x v="0"/>
    <x v="3"/>
    <x v="5"/>
    <x v="2"/>
    <n v="1679"/>
    <n v="260"/>
    <n v="350"/>
    <n v="587650"/>
    <n v="35259"/>
    <n v="552391"/>
    <n v="436540"/>
    <n v="115851"/>
    <x v="6"/>
    <n v="9"/>
    <s v="September"/>
    <x v="0"/>
    <n v="0.20972644376899696"/>
    <n v="0.06"/>
    <s v="Enterprise"/>
    <n v="0.79027355623100304"/>
    <s v="Profitable ✅"/>
  </r>
  <r>
    <x v="0"/>
    <x v="4"/>
    <x v="5"/>
    <x v="2"/>
    <n v="727"/>
    <n v="260"/>
    <n v="350"/>
    <n v="254450"/>
    <n v="15267"/>
    <n v="239183"/>
    <n v="189020"/>
    <n v="50163"/>
    <x v="7"/>
    <n v="10"/>
    <s v="October"/>
    <x v="1"/>
    <n v="0.20972644376899696"/>
    <n v="0.06"/>
    <s v="Enterprise"/>
    <n v="0.79027355623100304"/>
    <s v="Profitable ✅"/>
  </r>
  <r>
    <x v="0"/>
    <x v="2"/>
    <x v="5"/>
    <x v="2"/>
    <n v="1403"/>
    <n v="260"/>
    <n v="7"/>
    <n v="9821"/>
    <n v="589.26"/>
    <n v="9231.74"/>
    <n v="7015"/>
    <n v="2216.7399999999998"/>
    <x v="7"/>
    <n v="10"/>
    <s v="October"/>
    <x v="1"/>
    <n v="0.24012158054711244"/>
    <n v="0.06"/>
    <s v="Small"/>
    <n v="0.75987841945288759"/>
    <s v="Profitable ✅"/>
  </r>
  <r>
    <x v="0"/>
    <x v="2"/>
    <x v="5"/>
    <x v="2"/>
    <n v="2076"/>
    <n v="260"/>
    <n v="350"/>
    <n v="726600"/>
    <n v="43596"/>
    <n v="683004"/>
    <n v="539760"/>
    <n v="143244"/>
    <x v="7"/>
    <n v="10"/>
    <s v="October"/>
    <x v="1"/>
    <n v="0.20972644376899696"/>
    <n v="0.06"/>
    <s v="Enterprise"/>
    <n v="0.79027355623100304"/>
    <s v="Profitable ✅"/>
  </r>
  <r>
    <x v="0"/>
    <x v="2"/>
    <x v="1"/>
    <x v="2"/>
    <n v="1757"/>
    <n v="5"/>
    <n v="20"/>
    <n v="35140"/>
    <n v="2108.4"/>
    <n v="33031.599999999999"/>
    <n v="17570"/>
    <n v="15461.599999999999"/>
    <x v="7"/>
    <n v="10"/>
    <s v="October"/>
    <x v="1"/>
    <n v="0.46808510638297868"/>
    <n v="6.0000000000000005E-2"/>
    <s v="Medium"/>
    <n v="0.53191489361702127"/>
    <s v="Profitable ✅"/>
  </r>
  <r>
    <x v="1"/>
    <x v="4"/>
    <x v="2"/>
    <x v="2"/>
    <n v="2198"/>
    <n v="10"/>
    <n v="15"/>
    <n v="32970"/>
    <n v="1978.2"/>
    <n v="30991.8"/>
    <n v="21980"/>
    <n v="9011.7999999999993"/>
    <x v="5"/>
    <n v="8"/>
    <s v="August"/>
    <x v="0"/>
    <n v="0.29078014184397161"/>
    <n v="6.0000000000000005E-2"/>
    <s v="Medium"/>
    <n v="0.70921985815602839"/>
    <s v="Profitable ✅"/>
  </r>
  <r>
    <x v="1"/>
    <x v="1"/>
    <x v="2"/>
    <x v="2"/>
    <n v="1743"/>
    <n v="10"/>
    <n v="15"/>
    <n v="26145"/>
    <n v="1568.7"/>
    <n v="24576.3"/>
    <n v="17430"/>
    <n v="7146.2999999999993"/>
    <x v="5"/>
    <n v="8"/>
    <s v="August"/>
    <x v="0"/>
    <n v="0.29078014184397161"/>
    <n v="6.0000000000000005E-2"/>
    <s v="Medium"/>
    <n v="0.70921985815602839"/>
    <s v="Profitable ✅"/>
  </r>
  <r>
    <x v="1"/>
    <x v="4"/>
    <x v="2"/>
    <x v="2"/>
    <n v="1153"/>
    <n v="10"/>
    <n v="15"/>
    <n v="17295"/>
    <n v="1037.7"/>
    <n v="16257.3"/>
    <n v="11530"/>
    <n v="4727.2999999999993"/>
    <x v="10"/>
    <n v="10"/>
    <s v="October"/>
    <x v="0"/>
    <n v="0.29078014184397161"/>
    <n v="6.0000000000000005E-2"/>
    <s v="Medium"/>
    <n v="0.70921985815602839"/>
    <s v="Profitable ✅"/>
  </r>
  <r>
    <x v="0"/>
    <x v="2"/>
    <x v="2"/>
    <x v="2"/>
    <n v="1757"/>
    <n v="10"/>
    <n v="20"/>
    <n v="35140"/>
    <n v="2108.4"/>
    <n v="33031.599999999999"/>
    <n v="17570"/>
    <n v="15461.599999999999"/>
    <x v="7"/>
    <n v="10"/>
    <s v="October"/>
    <x v="1"/>
    <n v="0.46808510638297868"/>
    <n v="6.0000000000000005E-2"/>
    <s v="Medium"/>
    <n v="0.53191489361702127"/>
    <s v="Profitable ✅"/>
  </r>
  <r>
    <x v="0"/>
    <x v="1"/>
    <x v="3"/>
    <x v="2"/>
    <n v="1001"/>
    <n v="120"/>
    <n v="20"/>
    <n v="20020"/>
    <n v="1201.2"/>
    <n v="18818.8"/>
    <n v="10010"/>
    <n v="8808.7999999999993"/>
    <x v="5"/>
    <n v="8"/>
    <s v="August"/>
    <x v="0"/>
    <n v="0.46808510638297868"/>
    <n v="6.0000000000000005E-2"/>
    <s v="Medium"/>
    <n v="0.53191489361702127"/>
    <s v="Profitable ✅"/>
  </r>
  <r>
    <x v="0"/>
    <x v="3"/>
    <x v="3"/>
    <x v="2"/>
    <n v="1333"/>
    <n v="120"/>
    <n v="7"/>
    <n v="9331"/>
    <n v="559.86"/>
    <n v="8771.14"/>
    <n v="6665"/>
    <n v="2106.1399999999994"/>
    <x v="15"/>
    <n v="11"/>
    <s v="November"/>
    <x v="0"/>
    <n v="0.24012158054711241"/>
    <n v="6.0000000000000005E-2"/>
    <s v="Small"/>
    <n v="0.75987841945288759"/>
    <s v="Profitable ✅"/>
  </r>
  <r>
    <x v="1"/>
    <x v="4"/>
    <x v="4"/>
    <x v="2"/>
    <n v="1153"/>
    <n v="250"/>
    <n v="15"/>
    <n v="17295"/>
    <n v="1037.7"/>
    <n v="16257.3"/>
    <n v="11530"/>
    <n v="4727.2999999999993"/>
    <x v="10"/>
    <n v="10"/>
    <s v="October"/>
    <x v="0"/>
    <n v="0.29078014184397161"/>
    <n v="6.0000000000000005E-2"/>
    <s v="Medium"/>
    <n v="0.70921985815602839"/>
    <s v="Profitable ✅"/>
  </r>
  <r>
    <x v="2"/>
    <x v="3"/>
    <x v="0"/>
    <x v="2"/>
    <n v="727"/>
    <n v="3"/>
    <n v="12"/>
    <n v="8724"/>
    <n v="610.67999999999995"/>
    <n v="8113.32"/>
    <n v="2181"/>
    <n v="5932.32"/>
    <x v="8"/>
    <n v="2"/>
    <s v="February"/>
    <x v="0"/>
    <n v="0.73118279569892475"/>
    <n v="6.9999999999999993E-2"/>
    <s v="Small"/>
    <n v="0.26881720430107525"/>
    <s v="Profitable ✅"/>
  </r>
  <r>
    <x v="2"/>
    <x v="0"/>
    <x v="0"/>
    <x v="2"/>
    <n v="1884"/>
    <n v="3"/>
    <n v="12"/>
    <n v="22608"/>
    <n v="1582.56"/>
    <n v="21025.439999999999"/>
    <n v="5652"/>
    <n v="15373.439999999999"/>
    <x v="5"/>
    <n v="8"/>
    <s v="August"/>
    <x v="0"/>
    <n v="0.73118279569892475"/>
    <n v="6.9999999999999993E-2"/>
    <s v="Medium"/>
    <n v="0.26881720430107531"/>
    <s v="Profitable ✅"/>
  </r>
  <r>
    <x v="0"/>
    <x v="3"/>
    <x v="0"/>
    <x v="2"/>
    <n v="1834"/>
    <n v="3"/>
    <n v="20"/>
    <n v="36680"/>
    <n v="2567.6"/>
    <n v="34112.400000000001"/>
    <n v="18340"/>
    <n v="15772.400000000001"/>
    <x v="9"/>
    <n v="9"/>
    <s v="September"/>
    <x v="1"/>
    <n v="0.4623655913978495"/>
    <n v="6.9999999999999993E-2"/>
    <s v="Medium"/>
    <n v="0.5376344086021505"/>
    <s v="Profitable ✅"/>
  </r>
  <r>
    <x v="2"/>
    <x v="3"/>
    <x v="1"/>
    <x v="2"/>
    <n v="2340"/>
    <n v="5"/>
    <n v="12"/>
    <n v="28080"/>
    <n v="1965.6"/>
    <n v="26114.400000000001"/>
    <n v="7020"/>
    <n v="19094.400000000001"/>
    <x v="0"/>
    <n v="1"/>
    <s v="January"/>
    <x v="0"/>
    <n v="0.73118279569892475"/>
    <n v="6.9999999999999993E-2"/>
    <s v="Medium"/>
    <n v="0.26881720430107525"/>
    <s v="Profitable ✅"/>
  </r>
  <r>
    <x v="2"/>
    <x v="2"/>
    <x v="1"/>
    <x v="2"/>
    <n v="2342"/>
    <n v="5"/>
    <n v="12"/>
    <n v="28104"/>
    <n v="1967.28"/>
    <n v="26136.720000000001"/>
    <n v="7026"/>
    <n v="19110.72"/>
    <x v="15"/>
    <n v="11"/>
    <s v="November"/>
    <x v="0"/>
    <n v="0.73118279569892475"/>
    <n v="6.9999999999999993E-2"/>
    <s v="Medium"/>
    <n v="0.26881720430107525"/>
    <s v="Profitable ✅"/>
  </r>
  <r>
    <x v="0"/>
    <x v="2"/>
    <x v="2"/>
    <x v="2"/>
    <n v="1031"/>
    <n v="10"/>
    <n v="7"/>
    <n v="7217"/>
    <n v="505.19"/>
    <n v="6711.81"/>
    <n v="5155"/>
    <n v="1556.8100000000004"/>
    <x v="9"/>
    <n v="9"/>
    <s v="September"/>
    <x v="1"/>
    <n v="0.23195084485407072"/>
    <n v="6.9999999999999993E-2"/>
    <s v="Small"/>
    <n v="0.76804915514592931"/>
    <s v="Profitable ✅"/>
  </r>
  <r>
    <x v="1"/>
    <x v="0"/>
    <x v="3"/>
    <x v="2"/>
    <n v="1262"/>
    <n v="120"/>
    <n v="15"/>
    <n v="18930"/>
    <n v="1325.1"/>
    <n v="17604.900000000001"/>
    <n v="12620"/>
    <n v="4984.9000000000015"/>
    <x v="14"/>
    <n v="5"/>
    <s v="May"/>
    <x v="0"/>
    <n v="0.28315412186379935"/>
    <n v="6.9999999999999993E-2"/>
    <s v="Medium"/>
    <n v="0.71684587813620071"/>
    <s v="Profitable ✅"/>
  </r>
  <r>
    <x v="0"/>
    <x v="0"/>
    <x v="3"/>
    <x v="2"/>
    <n v="1135"/>
    <n v="120"/>
    <n v="7"/>
    <n v="7945"/>
    <n v="556.15"/>
    <n v="7388.85"/>
    <n v="5675"/>
    <n v="1713.8500000000004"/>
    <x v="1"/>
    <n v="6"/>
    <s v="June"/>
    <x v="0"/>
    <n v="0.23195084485407069"/>
    <n v="6.9999999999999993E-2"/>
    <s v="Small"/>
    <n v="0.76804915514592931"/>
    <s v="Profitable ✅"/>
  </r>
  <r>
    <x v="0"/>
    <x v="4"/>
    <x v="3"/>
    <x v="2"/>
    <n v="547"/>
    <n v="120"/>
    <n v="7"/>
    <n v="3829"/>
    <n v="268.02999999999997"/>
    <n v="3560.9700000000003"/>
    <n v="2735"/>
    <n v="825.97000000000025"/>
    <x v="15"/>
    <n v="11"/>
    <s v="November"/>
    <x v="0"/>
    <n v="0.23195084485407072"/>
    <n v="6.9999999999999993E-2"/>
    <s v="Small"/>
    <n v="0.76804915514592931"/>
    <s v="Profitable ✅"/>
  </r>
  <r>
    <x v="0"/>
    <x v="0"/>
    <x v="3"/>
    <x v="2"/>
    <n v="1582"/>
    <n v="120"/>
    <n v="7"/>
    <n v="11074"/>
    <n v="775.18"/>
    <n v="10298.82"/>
    <n v="7910"/>
    <n v="2388.8199999999997"/>
    <x v="2"/>
    <n v="12"/>
    <s v="December"/>
    <x v="0"/>
    <n v="0.23195084485407064"/>
    <n v="6.9999999999999993E-2"/>
    <s v="Medium"/>
    <n v="0.76804915514592931"/>
    <s v="Profitable ✅"/>
  </r>
  <r>
    <x v="2"/>
    <x v="2"/>
    <x v="4"/>
    <x v="2"/>
    <n v="1738.5"/>
    <n v="250"/>
    <n v="12"/>
    <n v="20862"/>
    <n v="1460.34"/>
    <n v="19401.66"/>
    <n v="5215.5"/>
    <n v="14186.16"/>
    <x v="13"/>
    <n v="4"/>
    <s v="April"/>
    <x v="0"/>
    <n v="0.73118279569892475"/>
    <n v="6.9999999999999993E-2"/>
    <s v="Medium"/>
    <n v="0.26881720430107525"/>
    <s v="Profitable ✅"/>
  </r>
  <r>
    <x v="2"/>
    <x v="1"/>
    <x v="4"/>
    <x v="2"/>
    <n v="2215"/>
    <n v="250"/>
    <n v="12"/>
    <n v="26580"/>
    <n v="1860.6"/>
    <n v="24719.4"/>
    <n v="6645"/>
    <n v="18074.400000000001"/>
    <x v="9"/>
    <n v="9"/>
    <s v="September"/>
    <x v="1"/>
    <n v="0.73118279569892475"/>
    <n v="6.9999999999999993E-2"/>
    <s v="Medium"/>
    <n v="0.26881720430107525"/>
    <s v="Profitable ✅"/>
  </r>
  <r>
    <x v="0"/>
    <x v="0"/>
    <x v="4"/>
    <x v="2"/>
    <n v="1582"/>
    <n v="250"/>
    <n v="7"/>
    <n v="11074"/>
    <n v="775.18"/>
    <n v="10298.82"/>
    <n v="7910"/>
    <n v="2388.8199999999997"/>
    <x v="2"/>
    <n v="12"/>
    <s v="December"/>
    <x v="0"/>
    <n v="0.23195084485407064"/>
    <n v="6.9999999999999993E-2"/>
    <s v="Medium"/>
    <n v="0.76804915514592931"/>
    <s v="Profitable ✅"/>
  </r>
  <r>
    <x v="0"/>
    <x v="0"/>
    <x v="5"/>
    <x v="2"/>
    <n v="1135"/>
    <n v="260"/>
    <n v="7"/>
    <n v="7945"/>
    <n v="556.15"/>
    <n v="7388.85"/>
    <n v="5675"/>
    <n v="1713.8500000000004"/>
    <x v="1"/>
    <n v="6"/>
    <s v="June"/>
    <x v="0"/>
    <n v="0.23195084485407069"/>
    <n v="6.9999999999999993E-2"/>
    <s v="Small"/>
    <n v="0.76804915514592931"/>
    <s v="Profitable ✅"/>
  </r>
  <r>
    <x v="0"/>
    <x v="4"/>
    <x v="0"/>
    <x v="2"/>
    <n v="1761"/>
    <n v="3"/>
    <n v="350"/>
    <n v="616350"/>
    <n v="43144.5"/>
    <n v="573205.5"/>
    <n v="457860"/>
    <n v="115345.5"/>
    <x v="3"/>
    <n v="3"/>
    <s v="March"/>
    <x v="0"/>
    <n v="0.20122887864823349"/>
    <n v="7.0000000000000007E-2"/>
    <s v="Enterprise"/>
    <n v="0.79877112135176653"/>
    <s v="Profitable ✅"/>
  </r>
  <r>
    <x v="4"/>
    <x v="2"/>
    <x v="0"/>
    <x v="2"/>
    <n v="448"/>
    <n v="3"/>
    <n v="300"/>
    <n v="134400"/>
    <n v="9408"/>
    <n v="124992"/>
    <n v="112000"/>
    <n v="12992"/>
    <x v="1"/>
    <n v="6"/>
    <s v="June"/>
    <x v="0"/>
    <n v="0.1039426523297491"/>
    <n v="7.0000000000000007E-2"/>
    <s v="Large"/>
    <n v="0.89605734767025091"/>
    <s v="Profitable ✅"/>
  </r>
  <r>
    <x v="4"/>
    <x v="2"/>
    <x v="0"/>
    <x v="2"/>
    <n v="2181"/>
    <n v="3"/>
    <n v="300"/>
    <n v="654300"/>
    <n v="45801"/>
    <n v="608499"/>
    <n v="545250"/>
    <n v="63249"/>
    <x v="10"/>
    <n v="10"/>
    <s v="October"/>
    <x v="0"/>
    <n v="0.1039426523297491"/>
    <n v="7.0000000000000007E-2"/>
    <s v="Enterprise"/>
    <n v="0.89605734767025091"/>
    <s v="Profitable ✅"/>
  </r>
  <r>
    <x v="0"/>
    <x v="2"/>
    <x v="1"/>
    <x v="2"/>
    <n v="1976"/>
    <n v="5"/>
    <n v="20"/>
    <n v="39520"/>
    <n v="2766.4"/>
    <n v="36753.599999999999"/>
    <n v="19760"/>
    <n v="16993.599999999999"/>
    <x v="10"/>
    <n v="10"/>
    <s v="October"/>
    <x v="0"/>
    <n v="0.46236559139784944"/>
    <n v="7.0000000000000007E-2"/>
    <s v="Medium"/>
    <n v="0.5376344086021505"/>
    <s v="Profitable ✅"/>
  </r>
  <r>
    <x v="4"/>
    <x v="2"/>
    <x v="1"/>
    <x v="2"/>
    <n v="2181"/>
    <n v="5"/>
    <n v="300"/>
    <n v="654300"/>
    <n v="45801"/>
    <n v="608499"/>
    <n v="545250"/>
    <n v="63249"/>
    <x v="10"/>
    <n v="10"/>
    <s v="October"/>
    <x v="0"/>
    <n v="0.1039426523297491"/>
    <n v="7.0000000000000007E-2"/>
    <s v="Enterprise"/>
    <n v="0.89605734767025091"/>
    <s v="Profitable ✅"/>
  </r>
  <r>
    <x v="3"/>
    <x v="1"/>
    <x v="1"/>
    <x v="2"/>
    <n v="2500"/>
    <n v="5"/>
    <n v="125"/>
    <n v="312500"/>
    <n v="21875"/>
    <n v="290625"/>
    <n v="300000"/>
    <n v="-9375"/>
    <x v="11"/>
    <n v="11"/>
    <s v="November"/>
    <x v="1"/>
    <n v="-3.2258064516129031E-2"/>
    <n v="7.0000000000000007E-2"/>
    <s v="Enterprise"/>
    <n v="1.032258064516129"/>
    <s v="Loss ❌"/>
  </r>
  <r>
    <x v="4"/>
    <x v="0"/>
    <x v="2"/>
    <x v="2"/>
    <n v="1702"/>
    <n v="10"/>
    <n v="300"/>
    <n v="510600"/>
    <n v="35742"/>
    <n v="474858"/>
    <n v="425500"/>
    <n v="49358"/>
    <x v="14"/>
    <n v="5"/>
    <s v="May"/>
    <x v="0"/>
    <n v="0.1039426523297491"/>
    <n v="7.0000000000000007E-2"/>
    <s v="Enterprise"/>
    <n v="0.89605734767025091"/>
    <s v="Profitable ✅"/>
  </r>
  <r>
    <x v="4"/>
    <x v="2"/>
    <x v="2"/>
    <x v="2"/>
    <n v="448"/>
    <n v="10"/>
    <n v="300"/>
    <n v="134400"/>
    <n v="9408"/>
    <n v="124992"/>
    <n v="112000"/>
    <n v="12992"/>
    <x v="1"/>
    <n v="6"/>
    <s v="June"/>
    <x v="0"/>
    <n v="0.1039426523297491"/>
    <n v="7.0000000000000007E-2"/>
    <s v="Large"/>
    <n v="0.89605734767025091"/>
    <s v="Profitable ✅"/>
  </r>
  <r>
    <x v="3"/>
    <x v="1"/>
    <x v="2"/>
    <x v="2"/>
    <n v="3513"/>
    <n v="10"/>
    <n v="125"/>
    <n v="439125"/>
    <n v="30738.75"/>
    <n v="408386.25"/>
    <n v="421560"/>
    <n v="-13173.75"/>
    <x v="4"/>
    <n v="7"/>
    <s v="July"/>
    <x v="0"/>
    <n v="-3.2258064516129031E-2"/>
    <n v="7.0000000000000007E-2"/>
    <s v="Enterprise"/>
    <n v="1.032258064516129"/>
    <s v="Loss ❌"/>
  </r>
  <r>
    <x v="1"/>
    <x v="2"/>
    <x v="2"/>
    <x v="2"/>
    <n v="2101"/>
    <n v="10"/>
    <n v="15"/>
    <n v="31515"/>
    <n v="2206.0500000000002"/>
    <n v="29308.95"/>
    <n v="21010"/>
    <n v="8298.9500000000007"/>
    <x v="5"/>
    <n v="8"/>
    <s v="August"/>
    <x v="0"/>
    <n v="0.28315412186379929"/>
    <n v="7.0000000000000007E-2"/>
    <s v="Medium"/>
    <n v="0.71684587813620071"/>
    <s v="Profitable ✅"/>
  </r>
  <r>
    <x v="1"/>
    <x v="4"/>
    <x v="2"/>
    <x v="2"/>
    <n v="2931"/>
    <n v="10"/>
    <n v="15"/>
    <n v="43965"/>
    <n v="3077.55"/>
    <n v="40887.449999999997"/>
    <n v="29310"/>
    <n v="11577.449999999997"/>
    <x v="9"/>
    <n v="9"/>
    <s v="September"/>
    <x v="1"/>
    <n v="0.28315412186379924"/>
    <n v="7.0000000000000007E-2"/>
    <s v="Medium"/>
    <n v="0.71684587813620082"/>
    <s v="Profitable ✅"/>
  </r>
  <r>
    <x v="0"/>
    <x v="2"/>
    <x v="2"/>
    <x v="2"/>
    <n v="1535"/>
    <n v="10"/>
    <n v="20"/>
    <n v="30700"/>
    <n v="2149"/>
    <n v="28551"/>
    <n v="15350"/>
    <n v="13201"/>
    <x v="6"/>
    <n v="9"/>
    <s v="September"/>
    <x v="0"/>
    <n v="0.46236559139784944"/>
    <n v="7.0000000000000007E-2"/>
    <s v="Medium"/>
    <n v="0.5376344086021505"/>
    <s v="Profitable ✅"/>
  </r>
  <r>
    <x v="4"/>
    <x v="1"/>
    <x v="2"/>
    <x v="2"/>
    <n v="1123"/>
    <n v="10"/>
    <n v="300"/>
    <n v="336900"/>
    <n v="23583"/>
    <n v="313317"/>
    <n v="280750"/>
    <n v="32567"/>
    <x v="9"/>
    <n v="9"/>
    <s v="September"/>
    <x v="1"/>
    <n v="0.1039426523297491"/>
    <n v="7.0000000000000007E-2"/>
    <s v="Enterprise"/>
    <n v="0.89605734767025091"/>
    <s v="Profitable ✅"/>
  </r>
  <r>
    <x v="4"/>
    <x v="0"/>
    <x v="2"/>
    <x v="2"/>
    <n v="1404"/>
    <n v="10"/>
    <n v="300"/>
    <n v="421200"/>
    <n v="29484"/>
    <n v="391716"/>
    <n v="351000"/>
    <n v="40716"/>
    <x v="11"/>
    <n v="11"/>
    <s v="November"/>
    <x v="1"/>
    <n v="0.1039426523297491"/>
    <n v="7.0000000000000007E-2"/>
    <s v="Enterprise"/>
    <n v="0.89605734767025091"/>
    <s v="Profitable ✅"/>
  </r>
  <r>
    <x v="2"/>
    <x v="3"/>
    <x v="2"/>
    <x v="2"/>
    <n v="2763"/>
    <n v="10"/>
    <n v="12"/>
    <n v="33156"/>
    <n v="2320.92"/>
    <n v="30835.08"/>
    <n v="8289"/>
    <n v="22546.080000000002"/>
    <x v="11"/>
    <n v="11"/>
    <s v="November"/>
    <x v="1"/>
    <n v="0.73118279569892475"/>
    <n v="7.0000000000000007E-2"/>
    <s v="Medium"/>
    <n v="0.26881720430107525"/>
    <s v="Profitable ✅"/>
  </r>
  <r>
    <x v="0"/>
    <x v="1"/>
    <x v="2"/>
    <x v="2"/>
    <n v="2125"/>
    <n v="10"/>
    <n v="7"/>
    <n v="14875"/>
    <n v="1041.25"/>
    <n v="13833.75"/>
    <n v="10625"/>
    <n v="3208.75"/>
    <x v="12"/>
    <n v="12"/>
    <s v="December"/>
    <x v="1"/>
    <n v="0.23195084485407066"/>
    <n v="7.0000000000000007E-2"/>
    <s v="Medium"/>
    <n v="0.76804915514592931"/>
    <s v="Profitable ✅"/>
  </r>
  <r>
    <x v="4"/>
    <x v="2"/>
    <x v="3"/>
    <x v="2"/>
    <n v="1659"/>
    <n v="120"/>
    <n v="300"/>
    <n v="497700"/>
    <n v="34839"/>
    <n v="462861"/>
    <n v="414750"/>
    <n v="48111"/>
    <x v="4"/>
    <n v="7"/>
    <s v="July"/>
    <x v="0"/>
    <n v="0.1039426523297491"/>
    <n v="7.0000000000000007E-2"/>
    <s v="Enterprise"/>
    <n v="0.89605734767025091"/>
    <s v="Profitable ✅"/>
  </r>
  <r>
    <x v="0"/>
    <x v="3"/>
    <x v="3"/>
    <x v="2"/>
    <n v="609"/>
    <n v="120"/>
    <n v="20"/>
    <n v="12180"/>
    <n v="852.6"/>
    <n v="11327.4"/>
    <n v="6090"/>
    <n v="5237.3999999999996"/>
    <x v="5"/>
    <n v="8"/>
    <s v="August"/>
    <x v="0"/>
    <n v="0.46236559139784944"/>
    <n v="7.0000000000000007E-2"/>
    <s v="Medium"/>
    <n v="0.5376344086021505"/>
    <s v="Profitable ✅"/>
  </r>
  <r>
    <x v="3"/>
    <x v="1"/>
    <x v="3"/>
    <x v="2"/>
    <n v="2087"/>
    <n v="120"/>
    <n v="125"/>
    <n v="260875"/>
    <n v="18261.25"/>
    <n v="242613.75"/>
    <n v="250440"/>
    <n v="-7826.25"/>
    <x v="6"/>
    <n v="9"/>
    <s v="September"/>
    <x v="0"/>
    <n v="-3.2258064516129031E-2"/>
    <n v="7.0000000000000007E-2"/>
    <s v="Enterprise"/>
    <n v="1.032258064516129"/>
    <s v="Loss ❌"/>
  </r>
  <r>
    <x v="0"/>
    <x v="2"/>
    <x v="3"/>
    <x v="2"/>
    <n v="1976"/>
    <n v="120"/>
    <n v="20"/>
    <n v="39520"/>
    <n v="2766.4"/>
    <n v="36753.599999999999"/>
    <n v="19760"/>
    <n v="16993.599999999999"/>
    <x v="10"/>
    <n v="10"/>
    <s v="October"/>
    <x v="0"/>
    <n v="0.46236559139784944"/>
    <n v="7.0000000000000007E-2"/>
    <s v="Medium"/>
    <n v="0.5376344086021505"/>
    <s v="Profitable ✅"/>
  </r>
  <r>
    <x v="0"/>
    <x v="4"/>
    <x v="3"/>
    <x v="2"/>
    <n v="1421"/>
    <n v="120"/>
    <n v="20"/>
    <n v="28420"/>
    <n v="1989.4"/>
    <n v="26430.6"/>
    <n v="14210"/>
    <n v="12220.599999999999"/>
    <x v="12"/>
    <n v="12"/>
    <s v="December"/>
    <x v="1"/>
    <n v="0.46236559139784944"/>
    <n v="7.0000000000000007E-2"/>
    <s v="Medium"/>
    <n v="0.53763440860215062"/>
    <s v="Profitable ✅"/>
  </r>
  <r>
    <x v="4"/>
    <x v="4"/>
    <x v="3"/>
    <x v="2"/>
    <n v="1372"/>
    <n v="120"/>
    <n v="300"/>
    <n v="411600"/>
    <n v="28812"/>
    <n v="382788"/>
    <n v="343000"/>
    <n v="39788"/>
    <x v="2"/>
    <n v="12"/>
    <s v="December"/>
    <x v="0"/>
    <n v="0.1039426523297491"/>
    <n v="7.0000000000000007E-2"/>
    <s v="Enterprise"/>
    <n v="0.89605734767025091"/>
    <s v="Profitable ✅"/>
  </r>
  <r>
    <x v="0"/>
    <x v="1"/>
    <x v="3"/>
    <x v="2"/>
    <n v="588"/>
    <n v="120"/>
    <n v="20"/>
    <n v="11760"/>
    <n v="823.2"/>
    <n v="10936.8"/>
    <n v="5880"/>
    <n v="5056.7999999999993"/>
    <x v="12"/>
    <n v="12"/>
    <s v="December"/>
    <x v="1"/>
    <n v="0.46236559139784944"/>
    <n v="7.0000000000000007E-2"/>
    <s v="Medium"/>
    <n v="0.53763440860215062"/>
    <s v="Profitable ✅"/>
  </r>
  <r>
    <x v="2"/>
    <x v="0"/>
    <x v="4"/>
    <x v="2"/>
    <n v="3244.5"/>
    <n v="250"/>
    <n v="12"/>
    <n v="38934"/>
    <n v="2725.38"/>
    <n v="36208.620000000003"/>
    <n v="9733.5"/>
    <n v="26475.120000000003"/>
    <x v="0"/>
    <n v="1"/>
    <s v="January"/>
    <x v="0"/>
    <n v="0.73118279569892475"/>
    <n v="7.0000000000000007E-2"/>
    <s v="Medium"/>
    <n v="0.26881720430107525"/>
    <s v="Profitable ✅"/>
  </r>
  <r>
    <x v="4"/>
    <x v="2"/>
    <x v="4"/>
    <x v="2"/>
    <n v="959"/>
    <n v="250"/>
    <n v="300"/>
    <n v="287700"/>
    <n v="20139"/>
    <n v="267561"/>
    <n v="239750"/>
    <n v="27811"/>
    <x v="8"/>
    <n v="2"/>
    <s v="February"/>
    <x v="0"/>
    <n v="0.1039426523297491"/>
    <n v="7.0000000000000007E-2"/>
    <s v="Enterprise"/>
    <n v="0.89605734767025091"/>
    <s v="Profitable ✅"/>
  </r>
  <r>
    <x v="4"/>
    <x v="3"/>
    <x v="4"/>
    <x v="2"/>
    <n v="2747"/>
    <n v="250"/>
    <n v="300"/>
    <n v="824100"/>
    <n v="57687"/>
    <n v="766413"/>
    <n v="686750"/>
    <n v="79663"/>
    <x v="8"/>
    <n v="2"/>
    <s v="February"/>
    <x v="0"/>
    <n v="0.1039426523297491"/>
    <n v="7.0000000000000007E-2"/>
    <s v="Enterprise"/>
    <n v="0.89605734767025091"/>
    <s v="Profitable ✅"/>
  </r>
  <r>
    <x v="3"/>
    <x v="0"/>
    <x v="5"/>
    <x v="2"/>
    <n v="1645"/>
    <n v="260"/>
    <n v="125"/>
    <n v="205625"/>
    <n v="14393.75"/>
    <n v="191231.25"/>
    <n v="197400"/>
    <n v="-6168.75"/>
    <x v="14"/>
    <n v="5"/>
    <s v="May"/>
    <x v="0"/>
    <n v="-3.2258064516129031E-2"/>
    <n v="7.0000000000000007E-2"/>
    <s v="Large"/>
    <n v="1.032258064516129"/>
    <s v="Loss ❌"/>
  </r>
  <r>
    <x v="0"/>
    <x v="2"/>
    <x v="5"/>
    <x v="2"/>
    <n v="2876"/>
    <n v="260"/>
    <n v="350"/>
    <n v="1006600"/>
    <n v="70462"/>
    <n v="936138"/>
    <n v="747760"/>
    <n v="188378"/>
    <x v="6"/>
    <n v="9"/>
    <s v="September"/>
    <x v="0"/>
    <n v="0.20122887864823349"/>
    <n v="7.0000000000000007E-2"/>
    <s v="Enterprise"/>
    <n v="0.79877112135176653"/>
    <s v="Profitable ✅"/>
  </r>
  <r>
    <x v="3"/>
    <x v="1"/>
    <x v="5"/>
    <x v="2"/>
    <n v="994"/>
    <n v="260"/>
    <n v="125"/>
    <n v="124250"/>
    <n v="8697.5"/>
    <n v="115552.5"/>
    <n v="119280"/>
    <n v="-3727.5"/>
    <x v="9"/>
    <n v="9"/>
    <s v="September"/>
    <x v="1"/>
    <n v="-3.2258064516129031E-2"/>
    <n v="7.0000000000000007E-2"/>
    <s v="Large"/>
    <n v="1.032258064516129"/>
    <s v="Loss ❌"/>
  </r>
  <r>
    <x v="0"/>
    <x v="0"/>
    <x v="5"/>
    <x v="2"/>
    <n v="1118"/>
    <n v="260"/>
    <n v="20"/>
    <n v="22360"/>
    <n v="1565.2"/>
    <n v="20794.8"/>
    <n v="11180"/>
    <n v="9614.7999999999993"/>
    <x v="15"/>
    <n v="11"/>
    <s v="November"/>
    <x v="0"/>
    <n v="0.46236559139784944"/>
    <n v="7.0000000000000007E-2"/>
    <s v="Medium"/>
    <n v="0.5376344086021505"/>
    <s v="Profitable ✅"/>
  </r>
  <r>
    <x v="4"/>
    <x v="4"/>
    <x v="5"/>
    <x v="2"/>
    <n v="1372"/>
    <n v="260"/>
    <n v="300"/>
    <n v="411600"/>
    <n v="28812"/>
    <n v="382788"/>
    <n v="343000"/>
    <n v="39788"/>
    <x v="2"/>
    <n v="12"/>
    <s v="December"/>
    <x v="0"/>
    <n v="0.1039426523297491"/>
    <n v="7.0000000000000007E-2"/>
    <s v="Enterprise"/>
    <n v="0.89605734767025091"/>
    <s v="Profitable ✅"/>
  </r>
  <r>
    <x v="0"/>
    <x v="0"/>
    <x v="1"/>
    <x v="2"/>
    <n v="488"/>
    <n v="5"/>
    <n v="7"/>
    <n v="3416"/>
    <n v="273.27999999999997"/>
    <n v="3142.7200000000003"/>
    <n v="2440"/>
    <n v="702.72000000000025"/>
    <x v="8"/>
    <n v="2"/>
    <s v="February"/>
    <x v="0"/>
    <n v="0.22360248447204975"/>
    <n v="7.9999999999999988E-2"/>
    <s v="Small"/>
    <n v="0.77639751552795022"/>
    <s v="Profitable ✅"/>
  </r>
  <r>
    <x v="0"/>
    <x v="4"/>
    <x v="1"/>
    <x v="2"/>
    <n v="1282"/>
    <n v="5"/>
    <n v="20"/>
    <n v="25640"/>
    <n v="2051.1999999999998"/>
    <n v="23588.799999999999"/>
    <n v="12820"/>
    <n v="10768.8"/>
    <x v="1"/>
    <n v="6"/>
    <s v="June"/>
    <x v="0"/>
    <n v="0.45652173913043476"/>
    <n v="7.9999999999999988E-2"/>
    <s v="Medium"/>
    <n v="0.54347826086956519"/>
    <s v="Profitable ✅"/>
  </r>
  <r>
    <x v="0"/>
    <x v="0"/>
    <x v="2"/>
    <x v="2"/>
    <n v="257"/>
    <n v="10"/>
    <n v="7"/>
    <n v="1799"/>
    <n v="143.91999999999999"/>
    <n v="1655.08"/>
    <n v="1285"/>
    <n v="370.07999999999993"/>
    <x v="14"/>
    <n v="5"/>
    <s v="May"/>
    <x v="0"/>
    <n v="0.22360248447204967"/>
    <n v="7.9999999999999988E-2"/>
    <s v="Small"/>
    <n v="0.77639751552795033"/>
    <s v="Profitable ✅"/>
  </r>
  <r>
    <x v="0"/>
    <x v="4"/>
    <x v="5"/>
    <x v="2"/>
    <n v="1282"/>
    <n v="260"/>
    <n v="20"/>
    <n v="25640"/>
    <n v="2051.1999999999998"/>
    <n v="23588.799999999999"/>
    <n v="12820"/>
    <n v="10768.8"/>
    <x v="1"/>
    <n v="6"/>
    <s v="June"/>
    <x v="0"/>
    <n v="0.45652173913043476"/>
    <n v="7.9999999999999988E-2"/>
    <s v="Medium"/>
    <n v="0.54347826086956519"/>
    <s v="Profitable ✅"/>
  </r>
  <r>
    <x v="3"/>
    <x v="3"/>
    <x v="0"/>
    <x v="2"/>
    <n v="1540"/>
    <n v="3"/>
    <n v="125"/>
    <n v="192500"/>
    <n v="15400"/>
    <n v="177100"/>
    <n v="184800"/>
    <n v="-7700"/>
    <x v="5"/>
    <n v="8"/>
    <s v="August"/>
    <x v="0"/>
    <n v="-4.3478260869565216E-2"/>
    <n v="0.08"/>
    <s v="Large"/>
    <n v="1.0434782608695652"/>
    <s v="Loss ❌"/>
  </r>
  <r>
    <x v="1"/>
    <x v="2"/>
    <x v="0"/>
    <x v="2"/>
    <n v="490"/>
    <n v="3"/>
    <n v="15"/>
    <n v="7350"/>
    <n v="588"/>
    <n v="6762"/>
    <n v="4900"/>
    <n v="1862"/>
    <x v="15"/>
    <n v="11"/>
    <s v="November"/>
    <x v="0"/>
    <n v="0.27536231884057971"/>
    <n v="0.08"/>
    <s v="Small"/>
    <n v="0.72463768115942029"/>
    <s v="Profitable ✅"/>
  </r>
  <r>
    <x v="0"/>
    <x v="3"/>
    <x v="0"/>
    <x v="2"/>
    <n v="1362"/>
    <n v="3"/>
    <n v="350"/>
    <n v="476700"/>
    <n v="38136"/>
    <n v="438564"/>
    <n v="354120"/>
    <n v="84444"/>
    <x v="2"/>
    <n v="12"/>
    <s v="December"/>
    <x v="0"/>
    <n v="0.19254658385093168"/>
    <n v="0.08"/>
    <s v="Enterprise"/>
    <n v="0.80745341614906829"/>
    <s v="Profitable ✅"/>
  </r>
  <r>
    <x v="1"/>
    <x v="2"/>
    <x v="1"/>
    <x v="2"/>
    <n v="2501"/>
    <n v="5"/>
    <n v="15"/>
    <n v="37515"/>
    <n v="3001.2"/>
    <n v="34513.800000000003"/>
    <n v="25010"/>
    <n v="9503.8000000000029"/>
    <x v="3"/>
    <n v="3"/>
    <s v="March"/>
    <x v="0"/>
    <n v="0.27536231884057977"/>
    <n v="0.08"/>
    <s v="Medium"/>
    <n v="0.72463768115942018"/>
    <s v="Profitable ✅"/>
  </r>
  <r>
    <x v="0"/>
    <x v="0"/>
    <x v="1"/>
    <x v="2"/>
    <n v="708"/>
    <n v="5"/>
    <n v="20"/>
    <n v="14160"/>
    <n v="1132.8"/>
    <n v="13027.2"/>
    <n v="7080"/>
    <n v="5947.2000000000007"/>
    <x v="1"/>
    <n v="6"/>
    <s v="June"/>
    <x v="0"/>
    <n v="0.45652173913043481"/>
    <n v="0.08"/>
    <s v="Medium"/>
    <n v="0.54347826086956519"/>
    <s v="Profitable ✅"/>
  </r>
  <r>
    <x v="0"/>
    <x v="1"/>
    <x v="1"/>
    <x v="2"/>
    <n v="645"/>
    <n v="5"/>
    <n v="20"/>
    <n v="12900"/>
    <n v="1032"/>
    <n v="11868"/>
    <n v="6450"/>
    <n v="5418"/>
    <x v="4"/>
    <n v="7"/>
    <s v="July"/>
    <x v="0"/>
    <n v="0.45652173913043476"/>
    <n v="0.08"/>
    <s v="Medium"/>
    <n v="0.54347826086956519"/>
    <s v="Profitable ✅"/>
  </r>
  <r>
    <x v="4"/>
    <x v="2"/>
    <x v="1"/>
    <x v="2"/>
    <n v="1562"/>
    <n v="5"/>
    <n v="300"/>
    <n v="468600"/>
    <n v="37488"/>
    <n v="431112"/>
    <n v="390500"/>
    <n v="40612"/>
    <x v="5"/>
    <n v="8"/>
    <s v="August"/>
    <x v="0"/>
    <n v="9.420289855072464E-2"/>
    <n v="0.08"/>
    <s v="Enterprise"/>
    <n v="0.90579710144927539"/>
    <s v="Profitable ✅"/>
  </r>
  <r>
    <x v="4"/>
    <x v="0"/>
    <x v="1"/>
    <x v="2"/>
    <n v="1283"/>
    <n v="5"/>
    <n v="300"/>
    <n v="384900"/>
    <n v="30792"/>
    <n v="354108"/>
    <n v="320750"/>
    <n v="33358"/>
    <x v="9"/>
    <n v="9"/>
    <s v="September"/>
    <x v="1"/>
    <n v="9.420289855072464E-2"/>
    <n v="0.08"/>
    <s v="Enterprise"/>
    <n v="0.90579710144927539"/>
    <s v="Profitable ✅"/>
  </r>
  <r>
    <x v="1"/>
    <x v="1"/>
    <x v="1"/>
    <x v="2"/>
    <n v="711"/>
    <n v="5"/>
    <n v="15"/>
    <n v="10665"/>
    <n v="853.2"/>
    <n v="9811.7999999999993"/>
    <n v="7110"/>
    <n v="2701.7999999999993"/>
    <x v="2"/>
    <n v="12"/>
    <s v="December"/>
    <x v="0"/>
    <n v="0.27536231884057966"/>
    <n v="0.08"/>
    <s v="Small"/>
    <n v="0.72463768115942029"/>
    <s v="Profitable ✅"/>
  </r>
  <r>
    <x v="3"/>
    <x v="3"/>
    <x v="2"/>
    <x v="2"/>
    <n v="1114"/>
    <n v="10"/>
    <n v="125"/>
    <n v="139250"/>
    <n v="11140"/>
    <n v="128110"/>
    <n v="133680"/>
    <n v="-5570"/>
    <x v="3"/>
    <n v="3"/>
    <s v="March"/>
    <x v="0"/>
    <n v="-4.3478260869565216E-2"/>
    <n v="0.08"/>
    <s v="Large"/>
    <n v="1.0434782608695652"/>
    <s v="Loss ❌"/>
  </r>
  <r>
    <x v="0"/>
    <x v="1"/>
    <x v="2"/>
    <x v="2"/>
    <n v="1259"/>
    <n v="10"/>
    <n v="7"/>
    <n v="8813"/>
    <n v="705.04"/>
    <n v="8107.96"/>
    <n v="6295"/>
    <n v="1812.96"/>
    <x v="13"/>
    <n v="4"/>
    <s v="April"/>
    <x v="0"/>
    <n v="0.2236024844720497"/>
    <n v="0.08"/>
    <s v="Small"/>
    <n v="0.77639751552795033"/>
    <s v="Profitable ✅"/>
  </r>
  <r>
    <x v="0"/>
    <x v="1"/>
    <x v="2"/>
    <x v="2"/>
    <n v="1095"/>
    <n v="10"/>
    <n v="7"/>
    <n v="7665"/>
    <n v="613.20000000000005"/>
    <n v="7051.8"/>
    <n v="5475"/>
    <n v="1576.8000000000002"/>
    <x v="14"/>
    <n v="5"/>
    <s v="May"/>
    <x v="0"/>
    <n v="0.22360248447204972"/>
    <n v="0.08"/>
    <s v="Small"/>
    <n v="0.77639751552795033"/>
    <s v="Profitable ✅"/>
  </r>
  <r>
    <x v="0"/>
    <x v="1"/>
    <x v="2"/>
    <x v="2"/>
    <n v="1366"/>
    <n v="10"/>
    <n v="20"/>
    <n v="27320"/>
    <n v="2185.6"/>
    <n v="25134.400000000001"/>
    <n v="13660"/>
    <n v="11474.400000000001"/>
    <x v="1"/>
    <n v="6"/>
    <s v="June"/>
    <x v="0"/>
    <n v="0.45652173913043481"/>
    <n v="0.08"/>
    <s v="Medium"/>
    <n v="0.54347826086956519"/>
    <s v="Profitable ✅"/>
  </r>
  <r>
    <x v="4"/>
    <x v="3"/>
    <x v="2"/>
    <x v="2"/>
    <n v="2460"/>
    <n v="10"/>
    <n v="300"/>
    <n v="738000"/>
    <n v="59040"/>
    <n v="678960"/>
    <n v="615000"/>
    <n v="63960"/>
    <x v="1"/>
    <n v="6"/>
    <s v="June"/>
    <x v="0"/>
    <n v="9.420289855072464E-2"/>
    <n v="0.08"/>
    <s v="Enterprise"/>
    <n v="0.90579710144927539"/>
    <s v="Profitable ✅"/>
  </r>
  <r>
    <x v="0"/>
    <x v="4"/>
    <x v="2"/>
    <x v="2"/>
    <n v="678"/>
    <n v="10"/>
    <n v="7"/>
    <n v="4746"/>
    <n v="379.68"/>
    <n v="4366.32"/>
    <n v="3390"/>
    <n v="976.31999999999971"/>
    <x v="5"/>
    <n v="8"/>
    <s v="August"/>
    <x v="0"/>
    <n v="0.22360248447204964"/>
    <n v="0.08"/>
    <s v="Small"/>
    <n v="0.77639751552795033"/>
    <s v="Profitable ✅"/>
  </r>
  <r>
    <x v="0"/>
    <x v="1"/>
    <x v="2"/>
    <x v="2"/>
    <n v="1598"/>
    <n v="10"/>
    <n v="7"/>
    <n v="11186"/>
    <n v="894.88"/>
    <n v="10291.120000000001"/>
    <n v="7990"/>
    <n v="2301.1200000000008"/>
    <x v="5"/>
    <n v="8"/>
    <s v="August"/>
    <x v="0"/>
    <n v="0.22360248447204975"/>
    <n v="0.08"/>
    <s v="Medium"/>
    <n v="0.77639751552795022"/>
    <s v="Profitable ✅"/>
  </r>
  <r>
    <x v="0"/>
    <x v="1"/>
    <x v="2"/>
    <x v="2"/>
    <n v="2409"/>
    <n v="10"/>
    <n v="7"/>
    <n v="16863"/>
    <n v="1349.04"/>
    <n v="15513.96"/>
    <n v="12045"/>
    <n v="3468.9599999999991"/>
    <x v="9"/>
    <n v="9"/>
    <s v="September"/>
    <x v="1"/>
    <n v="0.22360248447204964"/>
    <n v="0.08"/>
    <s v="Medium"/>
    <n v="0.77639751552795033"/>
    <s v="Profitable ✅"/>
  </r>
  <r>
    <x v="0"/>
    <x v="1"/>
    <x v="2"/>
    <x v="2"/>
    <n v="1934"/>
    <n v="10"/>
    <n v="20"/>
    <n v="38680"/>
    <n v="3094.4"/>
    <n v="35585.599999999999"/>
    <n v="19340"/>
    <n v="16245.599999999999"/>
    <x v="6"/>
    <n v="9"/>
    <s v="September"/>
    <x v="0"/>
    <n v="0.45652173913043476"/>
    <n v="0.08"/>
    <s v="Medium"/>
    <n v="0.54347826086956519"/>
    <s v="Profitable ✅"/>
  </r>
  <r>
    <x v="0"/>
    <x v="3"/>
    <x v="2"/>
    <x v="2"/>
    <n v="2993"/>
    <n v="10"/>
    <n v="20"/>
    <n v="59860"/>
    <n v="4788.8"/>
    <n v="55071.199999999997"/>
    <n v="29930"/>
    <n v="25141.199999999997"/>
    <x v="6"/>
    <n v="9"/>
    <s v="September"/>
    <x v="0"/>
    <n v="0.45652173913043476"/>
    <n v="0.08"/>
    <s v="Large"/>
    <n v="0.5434782608695653"/>
    <s v="Profitable ✅"/>
  </r>
  <r>
    <x v="0"/>
    <x v="1"/>
    <x v="2"/>
    <x v="2"/>
    <n v="2146"/>
    <n v="10"/>
    <n v="350"/>
    <n v="751100"/>
    <n v="60088"/>
    <n v="691012"/>
    <n v="557960"/>
    <n v="133052"/>
    <x v="11"/>
    <n v="11"/>
    <s v="November"/>
    <x v="1"/>
    <n v="0.19254658385093168"/>
    <n v="0.08"/>
    <s v="Enterprise"/>
    <n v="0.80745341614906829"/>
    <s v="Profitable ✅"/>
  </r>
  <r>
    <x v="0"/>
    <x v="3"/>
    <x v="2"/>
    <x v="2"/>
    <n v="1946"/>
    <n v="10"/>
    <n v="7"/>
    <n v="13622"/>
    <n v="1089.76"/>
    <n v="12532.24"/>
    <n v="9730"/>
    <n v="2802.24"/>
    <x v="12"/>
    <n v="12"/>
    <s v="December"/>
    <x v="1"/>
    <n v="0.22360248447204967"/>
    <n v="0.08"/>
    <s v="Medium"/>
    <n v="0.77639751552795033"/>
    <s v="Profitable ✅"/>
  </r>
  <r>
    <x v="0"/>
    <x v="3"/>
    <x v="2"/>
    <x v="2"/>
    <n v="1362"/>
    <n v="10"/>
    <n v="350"/>
    <n v="476700"/>
    <n v="38136"/>
    <n v="438564"/>
    <n v="354120"/>
    <n v="84444"/>
    <x v="2"/>
    <n v="12"/>
    <s v="December"/>
    <x v="0"/>
    <n v="0.19254658385093168"/>
    <n v="0.08"/>
    <s v="Enterprise"/>
    <n v="0.80745341614906829"/>
    <s v="Profitable ✅"/>
  </r>
  <r>
    <x v="2"/>
    <x v="0"/>
    <x v="3"/>
    <x v="2"/>
    <n v="598"/>
    <n v="120"/>
    <n v="12"/>
    <n v="7176"/>
    <n v="574.08000000000004"/>
    <n v="6601.92"/>
    <n v="1794"/>
    <n v="4807.92"/>
    <x v="3"/>
    <n v="3"/>
    <s v="March"/>
    <x v="0"/>
    <n v="0.72826086956521741"/>
    <n v="0.08"/>
    <s v="Small"/>
    <n v="0.27173913043478259"/>
    <s v="Profitable ✅"/>
  </r>
  <r>
    <x v="0"/>
    <x v="4"/>
    <x v="3"/>
    <x v="2"/>
    <n v="2907"/>
    <n v="120"/>
    <n v="7"/>
    <n v="20349"/>
    <n v="1627.92"/>
    <n v="18721.080000000002"/>
    <n v="14535"/>
    <n v="4186.0800000000017"/>
    <x v="1"/>
    <n v="6"/>
    <s v="June"/>
    <x v="0"/>
    <n v="0.22360248447204975"/>
    <n v="0.08"/>
    <s v="Medium"/>
    <n v="0.77639751552795022"/>
    <s v="Profitable ✅"/>
  </r>
  <r>
    <x v="0"/>
    <x v="1"/>
    <x v="3"/>
    <x v="2"/>
    <n v="2338"/>
    <n v="120"/>
    <n v="7"/>
    <n v="16366"/>
    <n v="1309.28"/>
    <n v="15056.72"/>
    <n v="11690"/>
    <n v="3366.7199999999993"/>
    <x v="1"/>
    <n v="6"/>
    <s v="June"/>
    <x v="0"/>
    <n v="0.22360248447204967"/>
    <n v="0.08"/>
    <s v="Medium"/>
    <n v="0.77639751552795033"/>
    <s v="Profitable ✅"/>
  </r>
  <r>
    <x v="4"/>
    <x v="2"/>
    <x v="3"/>
    <x v="2"/>
    <n v="386"/>
    <n v="120"/>
    <n v="300"/>
    <n v="115800"/>
    <n v="9264"/>
    <n v="106536"/>
    <n v="96500"/>
    <n v="10036"/>
    <x v="11"/>
    <n v="11"/>
    <s v="November"/>
    <x v="1"/>
    <n v="9.420289855072464E-2"/>
    <n v="0.08"/>
    <s v="Large"/>
    <n v="0.90579710144927539"/>
    <s v="Profitable ✅"/>
  </r>
  <r>
    <x v="4"/>
    <x v="3"/>
    <x v="3"/>
    <x v="2"/>
    <n v="635"/>
    <n v="120"/>
    <n v="300"/>
    <n v="190500"/>
    <n v="15240"/>
    <n v="175260"/>
    <n v="158750"/>
    <n v="16510"/>
    <x v="2"/>
    <n v="12"/>
    <s v="December"/>
    <x v="0"/>
    <n v="9.420289855072464E-2"/>
    <n v="0.08"/>
    <s v="Large"/>
    <n v="0.90579710144927539"/>
    <s v="Profitable ✅"/>
  </r>
  <r>
    <x v="0"/>
    <x v="2"/>
    <x v="4"/>
    <x v="2"/>
    <n v="574.5"/>
    <n v="250"/>
    <n v="350"/>
    <n v="201075"/>
    <n v="16086"/>
    <n v="184989"/>
    <n v="149370"/>
    <n v="35619"/>
    <x v="13"/>
    <n v="4"/>
    <s v="April"/>
    <x v="0"/>
    <n v="0.19254658385093168"/>
    <n v="0.08"/>
    <s v="Large"/>
    <n v="0.80745341614906829"/>
    <s v="Profitable ✅"/>
  </r>
  <r>
    <x v="0"/>
    <x v="1"/>
    <x v="4"/>
    <x v="2"/>
    <n v="2338"/>
    <n v="250"/>
    <n v="7"/>
    <n v="16366"/>
    <n v="1309.28"/>
    <n v="15056.72"/>
    <n v="11690"/>
    <n v="3366.7199999999993"/>
    <x v="1"/>
    <n v="6"/>
    <s v="June"/>
    <x v="0"/>
    <n v="0.22360248447204967"/>
    <n v="0.08"/>
    <s v="Medium"/>
    <n v="0.77639751552795033"/>
    <s v="Profitable ✅"/>
  </r>
  <r>
    <x v="0"/>
    <x v="2"/>
    <x v="4"/>
    <x v="2"/>
    <n v="381"/>
    <n v="250"/>
    <n v="350"/>
    <n v="133350"/>
    <n v="10668"/>
    <n v="122682"/>
    <n v="99060"/>
    <n v="23622"/>
    <x v="5"/>
    <n v="8"/>
    <s v="August"/>
    <x v="0"/>
    <n v="0.19254658385093168"/>
    <n v="0.08"/>
    <s v="Large"/>
    <n v="0.80745341614906829"/>
    <s v="Profitable ✅"/>
  </r>
  <r>
    <x v="0"/>
    <x v="1"/>
    <x v="4"/>
    <x v="2"/>
    <n v="422"/>
    <n v="250"/>
    <n v="350"/>
    <n v="147700"/>
    <n v="11816"/>
    <n v="135884"/>
    <n v="109720"/>
    <n v="26164"/>
    <x v="5"/>
    <n v="8"/>
    <s v="August"/>
    <x v="0"/>
    <n v="0.19254658385093168"/>
    <n v="0.08"/>
    <s v="Large"/>
    <n v="0.80745341614906829"/>
    <s v="Profitable ✅"/>
  </r>
  <r>
    <x v="4"/>
    <x v="0"/>
    <x v="4"/>
    <x v="2"/>
    <n v="2134"/>
    <n v="250"/>
    <n v="300"/>
    <n v="640200"/>
    <n v="51216"/>
    <n v="588984"/>
    <n v="533500"/>
    <n v="55484"/>
    <x v="6"/>
    <n v="9"/>
    <s v="September"/>
    <x v="0"/>
    <n v="9.420289855072464E-2"/>
    <n v="0.08"/>
    <s v="Enterprise"/>
    <n v="0.90579710144927539"/>
    <s v="Profitable ✅"/>
  </r>
  <r>
    <x v="4"/>
    <x v="4"/>
    <x v="4"/>
    <x v="2"/>
    <n v="808"/>
    <n v="250"/>
    <n v="300"/>
    <n v="242400"/>
    <n v="19392"/>
    <n v="223008"/>
    <n v="202000"/>
    <n v="21008"/>
    <x v="12"/>
    <n v="12"/>
    <s v="December"/>
    <x v="1"/>
    <n v="9.420289855072464E-2"/>
    <n v="0.08"/>
    <s v="Enterprise"/>
    <n v="0.90579710144927539"/>
    <s v="Profitable ✅"/>
  </r>
  <r>
    <x v="0"/>
    <x v="0"/>
    <x v="5"/>
    <x v="2"/>
    <n v="708"/>
    <n v="260"/>
    <n v="20"/>
    <n v="14160"/>
    <n v="1132.8"/>
    <n v="13027.2"/>
    <n v="7080"/>
    <n v="5947.2000000000007"/>
    <x v="1"/>
    <n v="6"/>
    <s v="June"/>
    <x v="0"/>
    <n v="0.45652173913043481"/>
    <n v="0.08"/>
    <s v="Medium"/>
    <n v="0.54347826086956519"/>
    <s v="Profitable ✅"/>
  </r>
  <r>
    <x v="0"/>
    <x v="4"/>
    <x v="5"/>
    <x v="2"/>
    <n v="2907"/>
    <n v="260"/>
    <n v="7"/>
    <n v="20349"/>
    <n v="1627.92"/>
    <n v="18721.080000000002"/>
    <n v="14535"/>
    <n v="4186.0800000000017"/>
    <x v="1"/>
    <n v="6"/>
    <s v="June"/>
    <x v="0"/>
    <n v="0.22360248447204975"/>
    <n v="0.08"/>
    <s v="Medium"/>
    <n v="0.77639751552795022"/>
    <s v="Profitable ✅"/>
  </r>
  <r>
    <x v="0"/>
    <x v="1"/>
    <x v="5"/>
    <x v="2"/>
    <n v="1366"/>
    <n v="260"/>
    <n v="20"/>
    <n v="27320"/>
    <n v="2185.6"/>
    <n v="25134.400000000001"/>
    <n v="13660"/>
    <n v="11474.400000000001"/>
    <x v="1"/>
    <n v="6"/>
    <s v="June"/>
    <x v="0"/>
    <n v="0.45652173913043481"/>
    <n v="0.08"/>
    <s v="Medium"/>
    <n v="0.54347826086956519"/>
    <s v="Profitable ✅"/>
  </r>
  <r>
    <x v="4"/>
    <x v="3"/>
    <x v="5"/>
    <x v="2"/>
    <n v="2460"/>
    <n v="260"/>
    <n v="300"/>
    <n v="738000"/>
    <n v="59040"/>
    <n v="678960"/>
    <n v="615000"/>
    <n v="63960"/>
    <x v="1"/>
    <n v="6"/>
    <s v="June"/>
    <x v="0"/>
    <n v="9.420289855072464E-2"/>
    <n v="0.08"/>
    <s v="Enterprise"/>
    <n v="0.90579710144927539"/>
    <s v="Profitable ✅"/>
  </r>
  <r>
    <x v="0"/>
    <x v="1"/>
    <x v="5"/>
    <x v="2"/>
    <n v="1520"/>
    <n v="260"/>
    <n v="20"/>
    <n v="30400"/>
    <n v="2432"/>
    <n v="27968"/>
    <n v="15200"/>
    <n v="12768"/>
    <x v="15"/>
    <n v="11"/>
    <s v="November"/>
    <x v="0"/>
    <n v="0.45652173913043476"/>
    <n v="0.08"/>
    <s v="Medium"/>
    <n v="0.54347826086956519"/>
    <s v="Profitable ✅"/>
  </r>
  <r>
    <x v="1"/>
    <x v="1"/>
    <x v="5"/>
    <x v="2"/>
    <n v="711"/>
    <n v="260"/>
    <n v="15"/>
    <n v="10665"/>
    <n v="853.2"/>
    <n v="9811.7999999999993"/>
    <n v="7110"/>
    <n v="2701.7999999999993"/>
    <x v="2"/>
    <n v="12"/>
    <s v="December"/>
    <x v="0"/>
    <n v="0.27536231884057966"/>
    <n v="0.08"/>
    <s v="Small"/>
    <n v="0.72463768115942029"/>
    <s v="Profitable ✅"/>
  </r>
  <r>
    <x v="2"/>
    <x v="3"/>
    <x v="5"/>
    <x v="2"/>
    <n v="1375"/>
    <n v="260"/>
    <n v="12"/>
    <n v="16500"/>
    <n v="1320"/>
    <n v="15180"/>
    <n v="4125"/>
    <n v="11055"/>
    <x v="12"/>
    <n v="12"/>
    <s v="December"/>
    <x v="1"/>
    <n v="0.72826086956521741"/>
    <n v="0.08"/>
    <s v="Medium"/>
    <n v="0.27173913043478259"/>
    <s v="Profitable ✅"/>
  </r>
  <r>
    <x v="4"/>
    <x v="3"/>
    <x v="5"/>
    <x v="2"/>
    <n v="635"/>
    <n v="260"/>
    <n v="300"/>
    <n v="190500"/>
    <n v="15240"/>
    <n v="175260"/>
    <n v="158750"/>
    <n v="16510"/>
    <x v="2"/>
    <n v="12"/>
    <s v="December"/>
    <x v="0"/>
    <n v="9.420289855072464E-2"/>
    <n v="0.08"/>
    <s v="Large"/>
    <n v="0.90579710144927539"/>
    <s v="Profitable ✅"/>
  </r>
  <r>
    <x v="0"/>
    <x v="4"/>
    <x v="4"/>
    <x v="2"/>
    <n v="436.5"/>
    <n v="250"/>
    <n v="20"/>
    <n v="8730"/>
    <n v="698.40000000000009"/>
    <n v="8031.5999999999995"/>
    <n v="4365"/>
    <n v="3666.5999999999995"/>
    <x v="4"/>
    <n v="7"/>
    <s v="July"/>
    <x v="0"/>
    <n v="0.45652173913043476"/>
    <n v="8.0000000000000016E-2"/>
    <s v="Small"/>
    <n v="0.5434782608695653"/>
    <s v="Profitable ✅"/>
  </r>
  <r>
    <x v="4"/>
    <x v="0"/>
    <x v="0"/>
    <x v="2"/>
    <n v="1094"/>
    <n v="3"/>
    <n v="300"/>
    <n v="328200"/>
    <n v="29538"/>
    <n v="298662"/>
    <n v="273500"/>
    <n v="25162"/>
    <x v="1"/>
    <n v="6"/>
    <s v="June"/>
    <x v="0"/>
    <n v="8.4249084249084255E-2"/>
    <n v="0.09"/>
    <s v="Enterprise"/>
    <n v="0.91575091575091572"/>
    <s v="Profitable ✅"/>
  </r>
  <r>
    <x v="2"/>
    <x v="3"/>
    <x v="0"/>
    <x v="2"/>
    <n v="367"/>
    <n v="3"/>
    <n v="12"/>
    <n v="4404"/>
    <n v="396.36"/>
    <n v="4007.64"/>
    <n v="1101"/>
    <n v="2906.64"/>
    <x v="7"/>
    <n v="10"/>
    <s v="October"/>
    <x v="1"/>
    <n v="0.72527472527472525"/>
    <n v="0.09"/>
    <s v="Small"/>
    <n v="0.27472527472527475"/>
    <s v="Profitable ✅"/>
  </r>
  <r>
    <x v="4"/>
    <x v="0"/>
    <x v="1"/>
    <x v="2"/>
    <n v="3802.5"/>
    <n v="5"/>
    <n v="300"/>
    <n v="1140750"/>
    <n v="102667.5"/>
    <n v="1038082.5"/>
    <n v="950625"/>
    <n v="87457.5"/>
    <x v="13"/>
    <n v="4"/>
    <s v="April"/>
    <x v="0"/>
    <n v="8.4249084249084255E-2"/>
    <n v="0.09"/>
    <s v="Enterprise"/>
    <n v="0.91575091575091572"/>
    <s v="Profitable ✅"/>
  </r>
  <r>
    <x v="0"/>
    <x v="2"/>
    <x v="1"/>
    <x v="2"/>
    <n v="1666"/>
    <n v="5"/>
    <n v="350"/>
    <n v="583100"/>
    <n v="52479"/>
    <n v="530621"/>
    <n v="433160"/>
    <n v="97461"/>
    <x v="14"/>
    <n v="5"/>
    <s v="May"/>
    <x v="0"/>
    <n v="0.18367346938775511"/>
    <n v="0.09"/>
    <s v="Enterprise"/>
    <n v="0.81632653061224492"/>
    <s v="Profitable ✅"/>
  </r>
  <r>
    <x v="4"/>
    <x v="2"/>
    <x v="1"/>
    <x v="2"/>
    <n v="322"/>
    <n v="5"/>
    <n v="300"/>
    <n v="96600"/>
    <n v="8694"/>
    <n v="87906"/>
    <n v="80500"/>
    <n v="7406"/>
    <x v="9"/>
    <n v="9"/>
    <s v="September"/>
    <x v="1"/>
    <n v="8.4249084249084255E-2"/>
    <n v="0.09"/>
    <s v="Large"/>
    <n v="0.91575091575091572"/>
    <s v="Profitable ✅"/>
  </r>
  <r>
    <x v="2"/>
    <x v="0"/>
    <x v="1"/>
    <x v="2"/>
    <n v="2321"/>
    <n v="5"/>
    <n v="12"/>
    <n v="27852"/>
    <n v="2506.6799999999998"/>
    <n v="25345.32"/>
    <n v="6963"/>
    <n v="18382.32"/>
    <x v="15"/>
    <n v="11"/>
    <s v="November"/>
    <x v="0"/>
    <n v="0.72527472527472525"/>
    <n v="0.09"/>
    <s v="Medium"/>
    <n v="0.27472527472527475"/>
    <s v="Profitable ✅"/>
  </r>
  <r>
    <x v="3"/>
    <x v="2"/>
    <x v="1"/>
    <x v="2"/>
    <n v="1857"/>
    <n v="5"/>
    <n v="125"/>
    <n v="232125"/>
    <n v="20891.25"/>
    <n v="211233.75"/>
    <n v="222840"/>
    <n v="-11606.25"/>
    <x v="11"/>
    <n v="11"/>
    <s v="November"/>
    <x v="1"/>
    <n v="-5.4945054945054944E-2"/>
    <n v="0.09"/>
    <s v="Enterprise"/>
    <n v="1.054945054945055"/>
    <s v="Loss ❌"/>
  </r>
  <r>
    <x v="0"/>
    <x v="0"/>
    <x v="1"/>
    <x v="2"/>
    <n v="1611"/>
    <n v="5"/>
    <n v="7"/>
    <n v="11277"/>
    <n v="1014.93"/>
    <n v="10262.07"/>
    <n v="8055"/>
    <n v="2207.0699999999997"/>
    <x v="12"/>
    <n v="12"/>
    <s v="December"/>
    <x v="1"/>
    <n v="0.21507064364207218"/>
    <n v="0.09"/>
    <s v="Medium"/>
    <n v="0.78492935635792782"/>
    <s v="Profitable ✅"/>
  </r>
  <r>
    <x v="3"/>
    <x v="4"/>
    <x v="1"/>
    <x v="2"/>
    <n v="2797"/>
    <n v="5"/>
    <n v="125"/>
    <n v="349625"/>
    <n v="31466.25"/>
    <n v="318158.75"/>
    <n v="335640"/>
    <n v="-17481.25"/>
    <x v="2"/>
    <n v="12"/>
    <s v="December"/>
    <x v="0"/>
    <n v="-5.4945054945054944E-2"/>
    <n v="0.09"/>
    <s v="Enterprise"/>
    <n v="1.054945054945055"/>
    <s v="Loss ❌"/>
  </r>
  <r>
    <x v="4"/>
    <x v="1"/>
    <x v="1"/>
    <x v="2"/>
    <n v="334"/>
    <n v="5"/>
    <n v="300"/>
    <n v="100200"/>
    <n v="9018"/>
    <n v="91182"/>
    <n v="83500"/>
    <n v="7682"/>
    <x v="12"/>
    <n v="12"/>
    <s v="December"/>
    <x v="1"/>
    <n v="8.4249084249084255E-2"/>
    <n v="0.09"/>
    <s v="Large"/>
    <n v="0.91575091575091572"/>
    <s v="Profitable ✅"/>
  </r>
  <r>
    <x v="4"/>
    <x v="3"/>
    <x v="2"/>
    <x v="2"/>
    <n v="2565"/>
    <n v="10"/>
    <n v="300"/>
    <n v="769500"/>
    <n v="69255"/>
    <n v="700245"/>
    <n v="641250"/>
    <n v="58995"/>
    <x v="0"/>
    <n v="1"/>
    <s v="January"/>
    <x v="0"/>
    <n v="8.4249084249084255E-2"/>
    <n v="0.09"/>
    <s v="Enterprise"/>
    <n v="0.91575091575091572"/>
    <s v="Profitable ✅"/>
  </r>
  <r>
    <x v="0"/>
    <x v="3"/>
    <x v="2"/>
    <x v="2"/>
    <n v="2417"/>
    <n v="10"/>
    <n v="350"/>
    <n v="845950"/>
    <n v="76135.5"/>
    <n v="769814.5"/>
    <n v="628420"/>
    <n v="141394.5"/>
    <x v="0"/>
    <n v="1"/>
    <s v="January"/>
    <x v="0"/>
    <n v="0.18367346938775511"/>
    <n v="0.09"/>
    <s v="Enterprise"/>
    <n v="0.81632653061224492"/>
    <s v="Profitable ✅"/>
  </r>
  <r>
    <x v="1"/>
    <x v="4"/>
    <x v="2"/>
    <x v="2"/>
    <n v="3675"/>
    <n v="10"/>
    <n v="15"/>
    <n v="55125"/>
    <n v="4961.25"/>
    <n v="50163.75"/>
    <n v="36750"/>
    <n v="13413.75"/>
    <x v="13"/>
    <n v="4"/>
    <s v="April"/>
    <x v="0"/>
    <n v="0.26739926739926739"/>
    <n v="0.09"/>
    <s v="Large"/>
    <n v="0.73260073260073255"/>
    <s v="Profitable ✅"/>
  </r>
  <r>
    <x v="4"/>
    <x v="0"/>
    <x v="2"/>
    <x v="2"/>
    <n v="1094"/>
    <n v="10"/>
    <n v="300"/>
    <n v="328200"/>
    <n v="29538"/>
    <n v="298662"/>
    <n v="273500"/>
    <n v="25162"/>
    <x v="1"/>
    <n v="6"/>
    <s v="June"/>
    <x v="0"/>
    <n v="8.4249084249084255E-2"/>
    <n v="0.09"/>
    <s v="Enterprise"/>
    <n v="0.91575091575091572"/>
    <s v="Profitable ✅"/>
  </r>
  <r>
    <x v="1"/>
    <x v="2"/>
    <x v="2"/>
    <x v="2"/>
    <n v="1227"/>
    <n v="10"/>
    <n v="15"/>
    <n v="18405"/>
    <n v="1656.45"/>
    <n v="16748.55"/>
    <n v="12270"/>
    <n v="4478.5499999999993"/>
    <x v="10"/>
    <n v="10"/>
    <s v="October"/>
    <x v="0"/>
    <n v="0.26739926739926739"/>
    <n v="0.09"/>
    <s v="Medium"/>
    <n v="0.73260073260073266"/>
    <s v="Profitable ✅"/>
  </r>
  <r>
    <x v="2"/>
    <x v="3"/>
    <x v="2"/>
    <x v="2"/>
    <n v="367"/>
    <n v="10"/>
    <n v="12"/>
    <n v="4404"/>
    <n v="396.36"/>
    <n v="4007.64"/>
    <n v="1101"/>
    <n v="2906.64"/>
    <x v="7"/>
    <n v="10"/>
    <s v="October"/>
    <x v="1"/>
    <n v="0.72527472527472525"/>
    <n v="0.09"/>
    <s v="Small"/>
    <n v="0.27472527472527475"/>
    <s v="Profitable ✅"/>
  </r>
  <r>
    <x v="4"/>
    <x v="2"/>
    <x v="2"/>
    <x v="2"/>
    <n v="1324"/>
    <n v="10"/>
    <n v="300"/>
    <n v="397200"/>
    <n v="35748"/>
    <n v="361452"/>
    <n v="331000"/>
    <n v="30452"/>
    <x v="15"/>
    <n v="11"/>
    <s v="November"/>
    <x v="0"/>
    <n v="8.4249084249084255E-2"/>
    <n v="0.09"/>
    <s v="Enterprise"/>
    <n v="0.91575091575091572"/>
    <s v="Profitable ✅"/>
  </r>
  <r>
    <x v="2"/>
    <x v="1"/>
    <x v="2"/>
    <x v="2"/>
    <n v="1775"/>
    <n v="10"/>
    <n v="12"/>
    <n v="21300"/>
    <n v="1917"/>
    <n v="19383"/>
    <n v="5325"/>
    <n v="14058"/>
    <x v="11"/>
    <n v="11"/>
    <s v="November"/>
    <x v="1"/>
    <n v="0.72527472527472525"/>
    <n v="0.09"/>
    <s v="Medium"/>
    <n v="0.27472527472527475"/>
    <s v="Profitable ✅"/>
  </r>
  <r>
    <x v="3"/>
    <x v="4"/>
    <x v="2"/>
    <x v="2"/>
    <n v="2797"/>
    <n v="10"/>
    <n v="125"/>
    <n v="349625"/>
    <n v="31466.25"/>
    <n v="318158.75"/>
    <n v="335640"/>
    <n v="-17481.25"/>
    <x v="2"/>
    <n v="12"/>
    <s v="December"/>
    <x v="0"/>
    <n v="-5.4945054945054944E-2"/>
    <n v="0.09"/>
    <s v="Enterprise"/>
    <n v="1.054945054945055"/>
    <s v="Loss ❌"/>
  </r>
  <r>
    <x v="1"/>
    <x v="3"/>
    <x v="3"/>
    <x v="2"/>
    <n v="245"/>
    <n v="120"/>
    <n v="15"/>
    <n v="3675"/>
    <n v="330.75"/>
    <n v="3344.25"/>
    <n v="2450"/>
    <n v="894.25"/>
    <x v="14"/>
    <n v="5"/>
    <s v="May"/>
    <x v="0"/>
    <n v="0.26739926739926739"/>
    <n v="0.09"/>
    <s v="Small"/>
    <n v="0.73260073260073255"/>
    <s v="Profitable ✅"/>
  </r>
  <r>
    <x v="4"/>
    <x v="0"/>
    <x v="3"/>
    <x v="2"/>
    <n v="3793.5"/>
    <n v="120"/>
    <n v="300"/>
    <n v="1138050"/>
    <n v="102424.5"/>
    <n v="1035625.5"/>
    <n v="948375"/>
    <n v="87250.5"/>
    <x v="4"/>
    <n v="7"/>
    <s v="July"/>
    <x v="0"/>
    <n v="8.4249084249084255E-2"/>
    <n v="0.09"/>
    <s v="Enterprise"/>
    <n v="0.91575091575091572"/>
    <s v="Profitable ✅"/>
  </r>
  <r>
    <x v="0"/>
    <x v="1"/>
    <x v="3"/>
    <x v="2"/>
    <n v="1307"/>
    <n v="120"/>
    <n v="350"/>
    <n v="457450"/>
    <n v="41170.5"/>
    <n v="416279.5"/>
    <n v="339820"/>
    <n v="76459.5"/>
    <x v="4"/>
    <n v="7"/>
    <s v="July"/>
    <x v="0"/>
    <n v="0.18367346938775511"/>
    <n v="0.09"/>
    <s v="Enterprise"/>
    <n v="0.81632653061224492"/>
    <s v="Profitable ✅"/>
  </r>
  <r>
    <x v="3"/>
    <x v="0"/>
    <x v="3"/>
    <x v="2"/>
    <n v="567"/>
    <n v="120"/>
    <n v="125"/>
    <n v="70875"/>
    <n v="6378.75"/>
    <n v="64496.25"/>
    <n v="68040"/>
    <n v="-3543.75"/>
    <x v="6"/>
    <n v="9"/>
    <s v="September"/>
    <x v="0"/>
    <n v="-5.4945054945054944E-2"/>
    <n v="0.09"/>
    <s v="Large"/>
    <n v="1.054945054945055"/>
    <s v="Loss ❌"/>
  </r>
  <r>
    <x v="3"/>
    <x v="3"/>
    <x v="3"/>
    <x v="2"/>
    <n v="2110"/>
    <n v="120"/>
    <n v="125"/>
    <n v="263750"/>
    <n v="23737.5"/>
    <n v="240012.5"/>
    <n v="253200"/>
    <n v="-13187.5"/>
    <x v="6"/>
    <n v="9"/>
    <s v="September"/>
    <x v="0"/>
    <n v="-5.4945054945054944E-2"/>
    <n v="0.09"/>
    <s v="Enterprise"/>
    <n v="1.054945054945055"/>
    <s v="Loss ❌"/>
  </r>
  <r>
    <x v="0"/>
    <x v="0"/>
    <x v="3"/>
    <x v="2"/>
    <n v="1269"/>
    <n v="120"/>
    <n v="350"/>
    <n v="444150"/>
    <n v="39973.5"/>
    <n v="404176.5"/>
    <n v="329940"/>
    <n v="74236.5"/>
    <x v="10"/>
    <n v="10"/>
    <s v="October"/>
    <x v="0"/>
    <n v="0.18367346938775511"/>
    <n v="0.09"/>
    <s v="Enterprise"/>
    <n v="0.81632653061224492"/>
    <s v="Profitable ✅"/>
  </r>
  <r>
    <x v="2"/>
    <x v="4"/>
    <x v="4"/>
    <x v="2"/>
    <n v="1956"/>
    <n v="250"/>
    <n v="12"/>
    <n v="23472"/>
    <n v="2112.48"/>
    <n v="21359.52"/>
    <n v="5868"/>
    <n v="15491.52"/>
    <x v="0"/>
    <n v="1"/>
    <s v="January"/>
    <x v="0"/>
    <n v="0.72527472527472525"/>
    <n v="0.09"/>
    <s v="Medium"/>
    <n v="0.27472527472527469"/>
    <s v="Profitable ✅"/>
  </r>
  <r>
    <x v="4"/>
    <x v="1"/>
    <x v="4"/>
    <x v="2"/>
    <n v="2659"/>
    <n v="250"/>
    <n v="300"/>
    <n v="797700"/>
    <n v="71793"/>
    <n v="725907"/>
    <n v="664750"/>
    <n v="61157"/>
    <x v="8"/>
    <n v="2"/>
    <s v="February"/>
    <x v="0"/>
    <n v="8.4249084249084255E-2"/>
    <n v="0.09"/>
    <s v="Enterprise"/>
    <n v="0.91575091575091572"/>
    <s v="Profitable ✅"/>
  </r>
  <r>
    <x v="0"/>
    <x v="4"/>
    <x v="4"/>
    <x v="2"/>
    <n v="1351.5"/>
    <n v="250"/>
    <n v="350"/>
    <n v="473025"/>
    <n v="42572.25"/>
    <n v="430452.75"/>
    <n v="351390"/>
    <n v="79062.75"/>
    <x v="13"/>
    <n v="4"/>
    <s v="April"/>
    <x v="0"/>
    <n v="0.18367346938775511"/>
    <n v="0.09"/>
    <s v="Enterprise"/>
    <n v="0.81632653061224492"/>
    <s v="Profitable ✅"/>
  </r>
  <r>
    <x v="2"/>
    <x v="1"/>
    <x v="4"/>
    <x v="2"/>
    <n v="880"/>
    <n v="250"/>
    <n v="12"/>
    <n v="10560"/>
    <n v="950.4"/>
    <n v="9609.6"/>
    <n v="2640"/>
    <n v="6969.6"/>
    <x v="14"/>
    <n v="5"/>
    <s v="May"/>
    <x v="0"/>
    <n v="0.72527472527472525"/>
    <n v="0.09"/>
    <s v="Small"/>
    <n v="0.27472527472527469"/>
    <s v="Profitable ✅"/>
  </r>
  <r>
    <x v="4"/>
    <x v="4"/>
    <x v="4"/>
    <x v="2"/>
    <n v="1867"/>
    <n v="250"/>
    <n v="300"/>
    <n v="560100"/>
    <n v="50409"/>
    <n v="509691"/>
    <n v="466750"/>
    <n v="42941"/>
    <x v="6"/>
    <n v="9"/>
    <s v="September"/>
    <x v="0"/>
    <n v="8.4249084249084255E-2"/>
    <n v="0.09"/>
    <s v="Enterprise"/>
    <n v="0.91575091575091572"/>
    <s v="Profitable ✅"/>
  </r>
  <r>
    <x v="2"/>
    <x v="2"/>
    <x v="4"/>
    <x v="2"/>
    <n v="2234"/>
    <n v="250"/>
    <n v="12"/>
    <n v="26808"/>
    <n v="2412.7199999999998"/>
    <n v="24395.279999999999"/>
    <n v="6702"/>
    <n v="17693.28"/>
    <x v="9"/>
    <n v="9"/>
    <s v="September"/>
    <x v="1"/>
    <n v="0.72527472527472525"/>
    <n v="0.09"/>
    <s v="Medium"/>
    <n v="0.27472527472527475"/>
    <s v="Profitable ✅"/>
  </r>
  <r>
    <x v="1"/>
    <x v="2"/>
    <x v="4"/>
    <x v="2"/>
    <n v="1227"/>
    <n v="250"/>
    <n v="15"/>
    <n v="18405"/>
    <n v="1656.45"/>
    <n v="16748.55"/>
    <n v="12270"/>
    <n v="4478.5499999999993"/>
    <x v="10"/>
    <n v="10"/>
    <s v="October"/>
    <x v="0"/>
    <n v="0.26739926739926739"/>
    <n v="0.09"/>
    <s v="Medium"/>
    <n v="0.73260073260073266"/>
    <s v="Profitable ✅"/>
  </r>
  <r>
    <x v="3"/>
    <x v="3"/>
    <x v="4"/>
    <x v="2"/>
    <n v="877"/>
    <n v="250"/>
    <n v="125"/>
    <n v="109625"/>
    <n v="9866.25"/>
    <n v="99758.75"/>
    <n v="105240"/>
    <n v="-5481.25"/>
    <x v="15"/>
    <n v="11"/>
    <s v="November"/>
    <x v="0"/>
    <n v="-5.4945054945054944E-2"/>
    <n v="0.09"/>
    <s v="Large"/>
    <n v="1.054945054945055"/>
    <s v="Loss ❌"/>
  </r>
  <r>
    <x v="0"/>
    <x v="4"/>
    <x v="5"/>
    <x v="2"/>
    <n v="2071"/>
    <n v="260"/>
    <n v="350"/>
    <n v="724850"/>
    <n v="65236.5"/>
    <n v="659613.5"/>
    <n v="538460"/>
    <n v="121153.5"/>
    <x v="6"/>
    <n v="9"/>
    <s v="September"/>
    <x v="0"/>
    <n v="0.18367346938775511"/>
    <n v="0.09"/>
    <s v="Enterprise"/>
    <n v="0.81632653061224492"/>
    <s v="Profitable ✅"/>
  </r>
  <r>
    <x v="0"/>
    <x v="0"/>
    <x v="5"/>
    <x v="2"/>
    <n v="1269"/>
    <n v="260"/>
    <n v="350"/>
    <n v="444150"/>
    <n v="39973.5"/>
    <n v="404176.5"/>
    <n v="329940"/>
    <n v="74236.5"/>
    <x v="10"/>
    <n v="10"/>
    <s v="October"/>
    <x v="0"/>
    <n v="0.18367346938775511"/>
    <n v="0.09"/>
    <s v="Enterprise"/>
    <n v="0.81632653061224492"/>
    <s v="Profitable ✅"/>
  </r>
  <r>
    <x v="1"/>
    <x v="1"/>
    <x v="5"/>
    <x v="2"/>
    <n v="970"/>
    <n v="260"/>
    <n v="15"/>
    <n v="14550"/>
    <n v="1309.5"/>
    <n v="13240.5"/>
    <n v="9700"/>
    <n v="3540.5"/>
    <x v="11"/>
    <n v="11"/>
    <s v="November"/>
    <x v="1"/>
    <n v="0.26739926739926739"/>
    <n v="0.09"/>
    <s v="Medium"/>
    <n v="0.73260073260073255"/>
    <s v="Profitable ✅"/>
  </r>
  <r>
    <x v="0"/>
    <x v="3"/>
    <x v="5"/>
    <x v="2"/>
    <n v="1694"/>
    <n v="260"/>
    <n v="20"/>
    <n v="33880"/>
    <n v="3049.2"/>
    <n v="30830.799999999999"/>
    <n v="16940"/>
    <n v="13890.8"/>
    <x v="15"/>
    <n v="11"/>
    <s v="November"/>
    <x v="0"/>
    <n v="0.45054945054945056"/>
    <n v="0.09"/>
    <s v="Medium"/>
    <n v="0.5494505494505495"/>
    <s v="Profitable ✅"/>
  </r>
  <r>
    <x v="0"/>
    <x v="1"/>
    <x v="0"/>
    <x v="2"/>
    <n v="663"/>
    <n v="3"/>
    <n v="20"/>
    <n v="13260"/>
    <n v="1193.4000000000001"/>
    <n v="12066.6"/>
    <n v="6630"/>
    <n v="5436.6"/>
    <x v="14"/>
    <n v="5"/>
    <s v="May"/>
    <x v="0"/>
    <n v="0.45054945054945056"/>
    <n v="9.0000000000000011E-2"/>
    <s v="Medium"/>
    <n v="0.54945054945054939"/>
    <s v="Profitable ✅"/>
  </r>
  <r>
    <x v="0"/>
    <x v="0"/>
    <x v="0"/>
    <x v="2"/>
    <n v="819"/>
    <n v="3"/>
    <n v="7"/>
    <n v="5733"/>
    <n v="515.97"/>
    <n v="5217.03"/>
    <n v="4095"/>
    <n v="1122.03"/>
    <x v="4"/>
    <n v="7"/>
    <s v="July"/>
    <x v="0"/>
    <n v="0.21507064364207221"/>
    <n v="9.0000000000000011E-2"/>
    <s v="Small"/>
    <n v="0.78492935635792782"/>
    <s v="Profitable ✅"/>
  </r>
  <r>
    <x v="2"/>
    <x v="1"/>
    <x v="0"/>
    <x v="2"/>
    <n v="1580"/>
    <n v="3"/>
    <n v="12"/>
    <n v="18960"/>
    <n v="1706.4"/>
    <n v="17253.599999999999"/>
    <n v="4740"/>
    <n v="12513.599999999999"/>
    <x v="6"/>
    <n v="9"/>
    <s v="September"/>
    <x v="0"/>
    <n v="0.72527472527472525"/>
    <n v="9.0000000000000011E-2"/>
    <s v="Medium"/>
    <n v="0.27472527472527475"/>
    <s v="Profitable ✅"/>
  </r>
  <r>
    <x v="0"/>
    <x v="3"/>
    <x v="0"/>
    <x v="2"/>
    <n v="521"/>
    <n v="3"/>
    <n v="7"/>
    <n v="3647"/>
    <n v="328.23"/>
    <n v="3318.77"/>
    <n v="2605"/>
    <n v="713.77"/>
    <x v="2"/>
    <n v="12"/>
    <s v="December"/>
    <x v="0"/>
    <n v="0.21507064364207221"/>
    <n v="9.0000000000000011E-2"/>
    <s v="Small"/>
    <n v="0.78492935635792782"/>
    <s v="Profitable ✅"/>
  </r>
  <r>
    <x v="0"/>
    <x v="4"/>
    <x v="2"/>
    <x v="2"/>
    <n v="973"/>
    <n v="10"/>
    <n v="20"/>
    <n v="19460"/>
    <n v="1751.4"/>
    <n v="17708.599999999999"/>
    <n v="9730"/>
    <n v="7978.5999999999985"/>
    <x v="3"/>
    <n v="3"/>
    <s v="March"/>
    <x v="0"/>
    <n v="0.4505494505494505"/>
    <n v="9.0000000000000011E-2"/>
    <s v="Medium"/>
    <n v="0.5494505494505495"/>
    <s v="Profitable ✅"/>
  </r>
  <r>
    <x v="0"/>
    <x v="3"/>
    <x v="2"/>
    <x v="2"/>
    <n v="1038"/>
    <n v="10"/>
    <n v="20"/>
    <n v="20760"/>
    <n v="1868.4"/>
    <n v="18891.599999999999"/>
    <n v="10380"/>
    <n v="8511.5999999999985"/>
    <x v="1"/>
    <n v="6"/>
    <s v="June"/>
    <x v="0"/>
    <n v="0.4505494505494505"/>
    <n v="9.0000000000000011E-2"/>
    <s v="Medium"/>
    <n v="0.5494505494505495"/>
    <s v="Profitable ✅"/>
  </r>
  <r>
    <x v="0"/>
    <x v="1"/>
    <x v="2"/>
    <x v="2"/>
    <n v="360"/>
    <n v="10"/>
    <n v="7"/>
    <n v="2520"/>
    <n v="226.8"/>
    <n v="2293.1999999999998"/>
    <n v="1800"/>
    <n v="493.19999999999982"/>
    <x v="10"/>
    <n v="10"/>
    <s v="October"/>
    <x v="0"/>
    <n v="0.21507064364207215"/>
    <n v="9.0000000000000011E-2"/>
    <s v="Small"/>
    <n v="0.78492935635792782"/>
    <s v="Profitable ✅"/>
  </r>
  <r>
    <x v="2"/>
    <x v="2"/>
    <x v="3"/>
    <x v="2"/>
    <n v="1967"/>
    <n v="120"/>
    <n v="12"/>
    <n v="23604"/>
    <n v="2124.36"/>
    <n v="21479.64"/>
    <n v="5901"/>
    <n v="15578.64"/>
    <x v="3"/>
    <n v="3"/>
    <s v="March"/>
    <x v="0"/>
    <n v="0.72527472527472525"/>
    <n v="9.0000000000000011E-2"/>
    <s v="Medium"/>
    <n v="0.27472527472527475"/>
    <s v="Profitable ✅"/>
  </r>
  <r>
    <x v="1"/>
    <x v="3"/>
    <x v="3"/>
    <x v="2"/>
    <n v="2628"/>
    <n v="120"/>
    <n v="15"/>
    <n v="39420"/>
    <n v="3547.8"/>
    <n v="35872.199999999997"/>
    <n v="26280"/>
    <n v="9592.1999999999971"/>
    <x v="13"/>
    <n v="4"/>
    <s v="April"/>
    <x v="0"/>
    <n v="0.26739926739926734"/>
    <n v="9.0000000000000011E-2"/>
    <s v="Medium"/>
    <n v="0.73260073260073266"/>
    <s v="Profitable ✅"/>
  </r>
  <r>
    <x v="0"/>
    <x v="1"/>
    <x v="4"/>
    <x v="2"/>
    <n v="360"/>
    <n v="250"/>
    <n v="7"/>
    <n v="2520"/>
    <n v="226.8"/>
    <n v="2293.1999999999998"/>
    <n v="1800"/>
    <n v="493.19999999999982"/>
    <x v="10"/>
    <n v="10"/>
    <s v="October"/>
    <x v="0"/>
    <n v="0.21507064364207215"/>
    <n v="9.0000000000000011E-2"/>
    <s v="Small"/>
    <n v="0.78492935635792782"/>
    <s v="Profitable ✅"/>
  </r>
  <r>
    <x v="0"/>
    <x v="2"/>
    <x v="4"/>
    <x v="2"/>
    <n v="2682"/>
    <n v="250"/>
    <n v="20"/>
    <n v="53640"/>
    <n v="4827.6000000000004"/>
    <n v="48812.4"/>
    <n v="26820"/>
    <n v="21992.400000000001"/>
    <x v="11"/>
    <n v="11"/>
    <s v="November"/>
    <x v="1"/>
    <n v="0.45054945054945056"/>
    <n v="9.0000000000000011E-2"/>
    <s v="Medium"/>
    <n v="0.54945054945054939"/>
    <s v="Profitable ✅"/>
  </r>
  <r>
    <x v="0"/>
    <x v="3"/>
    <x v="4"/>
    <x v="2"/>
    <n v="521"/>
    <n v="250"/>
    <n v="7"/>
    <n v="3647"/>
    <n v="328.23"/>
    <n v="3318.77"/>
    <n v="2605"/>
    <n v="713.77"/>
    <x v="2"/>
    <n v="12"/>
    <s v="December"/>
    <x v="0"/>
    <n v="0.21507064364207221"/>
    <n v="9.0000000000000011E-2"/>
    <s v="Small"/>
    <n v="0.78492935635792782"/>
    <s v="Profitable ✅"/>
  </r>
  <r>
    <x v="0"/>
    <x v="3"/>
    <x v="5"/>
    <x v="2"/>
    <n v="1038"/>
    <n v="260"/>
    <n v="20"/>
    <n v="20760"/>
    <n v="1868.4"/>
    <n v="18891.599999999999"/>
    <n v="10380"/>
    <n v="8511.5999999999985"/>
    <x v="1"/>
    <n v="6"/>
    <s v="June"/>
    <x v="0"/>
    <n v="0.4505494505494505"/>
    <n v="9.0000000000000011E-2"/>
    <s v="Medium"/>
    <n v="0.5494505494505495"/>
    <s v="Profitable ✅"/>
  </r>
  <r>
    <x v="1"/>
    <x v="0"/>
    <x v="5"/>
    <x v="2"/>
    <n v="1630.5"/>
    <n v="260"/>
    <n v="15"/>
    <n v="24457.5"/>
    <n v="2201.1750000000002"/>
    <n v="22256.324999999997"/>
    <n v="16305"/>
    <n v="5951.3249999999989"/>
    <x v="4"/>
    <n v="7"/>
    <s v="July"/>
    <x v="0"/>
    <n v="0.26739926739926739"/>
    <n v="9.0000000000000011E-2"/>
    <s v="Medium"/>
    <n v="0.73260073260073266"/>
    <s v="Profitable ✅"/>
  </r>
  <r>
    <x v="2"/>
    <x v="2"/>
    <x v="5"/>
    <x v="2"/>
    <n v="306"/>
    <n v="260"/>
    <n v="12"/>
    <n v="3672"/>
    <n v="330.48"/>
    <n v="3341.52"/>
    <n v="918"/>
    <n v="2423.52"/>
    <x v="12"/>
    <n v="12"/>
    <s v="December"/>
    <x v="1"/>
    <n v="0.72527472527472525"/>
    <n v="9.0000000000000011E-2"/>
    <s v="Small"/>
    <n v="0.27472527472527475"/>
    <s v="Profitable ✅"/>
  </r>
  <r>
    <x v="2"/>
    <x v="4"/>
    <x v="0"/>
    <x v="3"/>
    <n v="386"/>
    <n v="3"/>
    <n v="12"/>
    <n v="4632"/>
    <n v="463.2"/>
    <n v="4168.8"/>
    <n v="1158"/>
    <n v="3010.8"/>
    <x v="7"/>
    <n v="10"/>
    <s v="October"/>
    <x v="1"/>
    <n v="0.72222222222222221"/>
    <n v="9.9999999999999992E-2"/>
    <s v="Small"/>
    <n v="0.27777777777777779"/>
    <s v="Profitable ✅"/>
  </r>
  <r>
    <x v="0"/>
    <x v="4"/>
    <x v="1"/>
    <x v="3"/>
    <n v="2328"/>
    <n v="5"/>
    <n v="7"/>
    <n v="16296"/>
    <n v="1629.6"/>
    <n v="14666.4"/>
    <n v="11640"/>
    <n v="3026.3999999999996"/>
    <x v="6"/>
    <n v="9"/>
    <s v="September"/>
    <x v="0"/>
    <n v="0.20634920634920634"/>
    <n v="9.9999999999999992E-2"/>
    <s v="Medium"/>
    <n v="0.79365079365079372"/>
    <s v="Profitable ✅"/>
  </r>
  <r>
    <x v="2"/>
    <x v="4"/>
    <x v="2"/>
    <x v="3"/>
    <n v="386"/>
    <n v="10"/>
    <n v="12"/>
    <n v="4632"/>
    <n v="463.2"/>
    <n v="4168.8"/>
    <n v="1158"/>
    <n v="3010.8"/>
    <x v="7"/>
    <n v="10"/>
    <s v="October"/>
    <x v="1"/>
    <n v="0.72222222222222221"/>
    <n v="9.9999999999999992E-2"/>
    <s v="Small"/>
    <n v="0.27777777777777779"/>
    <s v="Profitable ✅"/>
  </r>
  <r>
    <x v="3"/>
    <x v="4"/>
    <x v="0"/>
    <x v="3"/>
    <n v="3445.5"/>
    <n v="3"/>
    <n v="125"/>
    <n v="430687.5"/>
    <n v="43068.75"/>
    <n v="387618.75"/>
    <n v="413460"/>
    <n v="-25841.25"/>
    <x v="13"/>
    <n v="4"/>
    <s v="April"/>
    <x v="0"/>
    <n v="-6.6666666666666666E-2"/>
    <n v="0.1"/>
    <s v="Enterprise"/>
    <n v="1.0666666666666667"/>
    <s v="Loss ❌"/>
  </r>
  <r>
    <x v="3"/>
    <x v="2"/>
    <x v="0"/>
    <x v="3"/>
    <n v="1482"/>
    <n v="3"/>
    <n v="125"/>
    <n v="185250"/>
    <n v="18525"/>
    <n v="166725"/>
    <n v="177840"/>
    <n v="-11115"/>
    <x v="12"/>
    <n v="12"/>
    <s v="December"/>
    <x v="1"/>
    <n v="-6.6666666666666666E-2"/>
    <n v="0.1"/>
    <s v="Large"/>
    <n v="1.0666666666666667"/>
    <s v="Loss ❌"/>
  </r>
  <r>
    <x v="0"/>
    <x v="4"/>
    <x v="1"/>
    <x v="3"/>
    <n v="2313"/>
    <n v="5"/>
    <n v="350"/>
    <n v="809550"/>
    <n v="80955"/>
    <n v="728595"/>
    <n v="601380"/>
    <n v="127215"/>
    <x v="14"/>
    <n v="5"/>
    <s v="May"/>
    <x v="0"/>
    <n v="0.17460317460317459"/>
    <n v="0.1"/>
    <s v="Enterprise"/>
    <n v="0.82539682539682535"/>
    <s v="Profitable ✅"/>
  </r>
  <r>
    <x v="3"/>
    <x v="4"/>
    <x v="1"/>
    <x v="3"/>
    <n v="1804"/>
    <n v="5"/>
    <n v="125"/>
    <n v="225500"/>
    <n v="22550"/>
    <n v="202950"/>
    <n v="216480"/>
    <n v="-13530"/>
    <x v="11"/>
    <n v="11"/>
    <s v="November"/>
    <x v="1"/>
    <n v="-6.6666666666666666E-2"/>
    <n v="0.1"/>
    <s v="Enterprise"/>
    <n v="1.0666666666666667"/>
    <s v="Loss ❌"/>
  </r>
  <r>
    <x v="1"/>
    <x v="2"/>
    <x v="1"/>
    <x v="3"/>
    <n v="2072"/>
    <n v="5"/>
    <n v="15"/>
    <n v="31080"/>
    <n v="3108"/>
    <n v="27972"/>
    <n v="20720"/>
    <n v="7252"/>
    <x v="2"/>
    <n v="12"/>
    <s v="December"/>
    <x v="0"/>
    <n v="0.25925925925925924"/>
    <n v="0.1"/>
    <s v="Medium"/>
    <n v="0.7407407407407407"/>
    <s v="Profitable ✅"/>
  </r>
  <r>
    <x v="0"/>
    <x v="2"/>
    <x v="2"/>
    <x v="3"/>
    <n v="1954"/>
    <n v="10"/>
    <n v="20"/>
    <n v="39080"/>
    <n v="3908"/>
    <n v="35172"/>
    <n v="19540"/>
    <n v="15632"/>
    <x v="3"/>
    <n v="3"/>
    <s v="March"/>
    <x v="0"/>
    <n v="0.44444444444444442"/>
    <n v="0.1"/>
    <s v="Medium"/>
    <n v="0.55555555555555558"/>
    <s v="Profitable ✅"/>
  </r>
  <r>
    <x v="4"/>
    <x v="3"/>
    <x v="2"/>
    <x v="3"/>
    <n v="591"/>
    <n v="10"/>
    <n v="300"/>
    <n v="177300"/>
    <n v="17730"/>
    <n v="159570"/>
    <n v="147750"/>
    <n v="11820"/>
    <x v="14"/>
    <n v="5"/>
    <s v="May"/>
    <x v="0"/>
    <n v="7.407407407407407E-2"/>
    <n v="0.1"/>
    <s v="Large"/>
    <n v="0.92592592592592593"/>
    <s v="Profitable ✅"/>
  </r>
  <r>
    <x v="1"/>
    <x v="2"/>
    <x v="2"/>
    <x v="3"/>
    <n v="2167"/>
    <n v="10"/>
    <n v="15"/>
    <n v="32505"/>
    <n v="3250.5"/>
    <n v="29254.5"/>
    <n v="21670"/>
    <n v="7584.5"/>
    <x v="7"/>
    <n v="10"/>
    <s v="October"/>
    <x v="1"/>
    <n v="0.25925925925925924"/>
    <n v="0.1"/>
    <s v="Medium"/>
    <n v="0.7407407407407407"/>
    <s v="Profitable ✅"/>
  </r>
  <r>
    <x v="0"/>
    <x v="1"/>
    <x v="2"/>
    <x v="3"/>
    <n v="241"/>
    <n v="10"/>
    <n v="20"/>
    <n v="4820"/>
    <n v="482"/>
    <n v="4338"/>
    <n v="2410"/>
    <n v="1928"/>
    <x v="10"/>
    <n v="10"/>
    <s v="October"/>
    <x v="0"/>
    <n v="0.44444444444444442"/>
    <n v="0.1"/>
    <s v="Small"/>
    <n v="0.55555555555555558"/>
    <s v="Profitable ✅"/>
  </r>
  <r>
    <x v="1"/>
    <x v="1"/>
    <x v="3"/>
    <x v="3"/>
    <n v="681"/>
    <n v="120"/>
    <n v="15"/>
    <n v="10215"/>
    <n v="1021.5"/>
    <n v="9193.5"/>
    <n v="6810"/>
    <n v="2383.5"/>
    <x v="0"/>
    <n v="1"/>
    <s v="January"/>
    <x v="0"/>
    <n v="0.25925925925925924"/>
    <n v="0.1"/>
    <s v="Small"/>
    <n v="0.7407407407407407"/>
    <s v="Profitable ✅"/>
  </r>
  <r>
    <x v="1"/>
    <x v="1"/>
    <x v="3"/>
    <x v="3"/>
    <n v="510"/>
    <n v="120"/>
    <n v="15"/>
    <n v="7650"/>
    <n v="765"/>
    <n v="6885"/>
    <n v="5100"/>
    <n v="1785"/>
    <x v="13"/>
    <n v="4"/>
    <s v="April"/>
    <x v="0"/>
    <n v="0.25925925925925924"/>
    <n v="0.1"/>
    <s v="Small"/>
    <n v="0.7407407407407407"/>
    <s v="Profitable ✅"/>
  </r>
  <r>
    <x v="1"/>
    <x v="4"/>
    <x v="3"/>
    <x v="3"/>
    <n v="790"/>
    <n v="120"/>
    <n v="15"/>
    <n v="11850"/>
    <n v="1185"/>
    <n v="10665"/>
    <n v="7900"/>
    <n v="2765"/>
    <x v="14"/>
    <n v="5"/>
    <s v="May"/>
    <x v="0"/>
    <n v="0.25925925925925924"/>
    <n v="0.1"/>
    <s v="Medium"/>
    <n v="0.7407407407407407"/>
    <s v="Profitable ✅"/>
  </r>
  <r>
    <x v="0"/>
    <x v="2"/>
    <x v="3"/>
    <x v="3"/>
    <n v="639"/>
    <n v="120"/>
    <n v="350"/>
    <n v="223650"/>
    <n v="22365"/>
    <n v="201285"/>
    <n v="166140"/>
    <n v="35145"/>
    <x v="4"/>
    <n v="7"/>
    <s v="July"/>
    <x v="0"/>
    <n v="0.17460317460317459"/>
    <n v="0.1"/>
    <s v="Enterprise"/>
    <n v="0.82539682539682535"/>
    <s v="Profitable ✅"/>
  </r>
  <r>
    <x v="3"/>
    <x v="4"/>
    <x v="3"/>
    <x v="3"/>
    <n v="1596"/>
    <n v="120"/>
    <n v="125"/>
    <n v="199500"/>
    <n v="19950"/>
    <n v="179550"/>
    <n v="191520"/>
    <n v="-11970"/>
    <x v="6"/>
    <n v="9"/>
    <s v="September"/>
    <x v="0"/>
    <n v="-6.6666666666666666E-2"/>
    <n v="0.1"/>
    <s v="Large"/>
    <n v="1.0666666666666667"/>
    <s v="Loss ❌"/>
  </r>
  <r>
    <x v="4"/>
    <x v="4"/>
    <x v="3"/>
    <x v="3"/>
    <n v="2294"/>
    <n v="120"/>
    <n v="300"/>
    <n v="688200"/>
    <n v="68820"/>
    <n v="619380"/>
    <n v="573500"/>
    <n v="45880"/>
    <x v="7"/>
    <n v="10"/>
    <s v="October"/>
    <x v="1"/>
    <n v="7.407407407407407E-2"/>
    <n v="0.1"/>
    <s v="Enterprise"/>
    <n v="0.92592592592592593"/>
    <s v="Profitable ✅"/>
  </r>
  <r>
    <x v="0"/>
    <x v="1"/>
    <x v="3"/>
    <x v="3"/>
    <n v="241"/>
    <n v="120"/>
    <n v="20"/>
    <n v="4820"/>
    <n v="482"/>
    <n v="4338"/>
    <n v="2410"/>
    <n v="1928"/>
    <x v="10"/>
    <n v="10"/>
    <s v="October"/>
    <x v="0"/>
    <n v="0.44444444444444442"/>
    <n v="0.1"/>
    <s v="Small"/>
    <n v="0.55555555555555558"/>
    <s v="Profitable ✅"/>
  </r>
  <r>
    <x v="0"/>
    <x v="1"/>
    <x v="3"/>
    <x v="3"/>
    <n v="2665"/>
    <n v="120"/>
    <n v="7"/>
    <n v="18655"/>
    <n v="1865.5"/>
    <n v="16789.5"/>
    <n v="13325"/>
    <n v="3464.5"/>
    <x v="15"/>
    <n v="11"/>
    <s v="November"/>
    <x v="0"/>
    <n v="0.20634920634920634"/>
    <n v="0.1"/>
    <s v="Medium"/>
    <n v="0.79365079365079361"/>
    <s v="Profitable ✅"/>
  </r>
  <r>
    <x v="3"/>
    <x v="0"/>
    <x v="3"/>
    <x v="3"/>
    <n v="1916"/>
    <n v="120"/>
    <n v="125"/>
    <n v="239500"/>
    <n v="23950"/>
    <n v="215550"/>
    <n v="229920"/>
    <n v="-14370"/>
    <x v="12"/>
    <n v="12"/>
    <s v="December"/>
    <x v="1"/>
    <n v="-6.6666666666666666E-2"/>
    <n v="0.1"/>
    <s v="Enterprise"/>
    <n v="1.0666666666666667"/>
    <s v="Loss ❌"/>
  </r>
  <r>
    <x v="4"/>
    <x v="2"/>
    <x v="3"/>
    <x v="3"/>
    <n v="853"/>
    <n v="120"/>
    <n v="300"/>
    <n v="255900"/>
    <n v="25590"/>
    <n v="230310"/>
    <n v="213250"/>
    <n v="17060"/>
    <x v="2"/>
    <n v="12"/>
    <s v="December"/>
    <x v="0"/>
    <n v="7.407407407407407E-2"/>
    <n v="0.1"/>
    <s v="Enterprise"/>
    <n v="0.92592592592592593"/>
    <s v="Profitable ✅"/>
  </r>
  <r>
    <x v="3"/>
    <x v="3"/>
    <x v="4"/>
    <x v="3"/>
    <n v="341"/>
    <n v="250"/>
    <n v="125"/>
    <n v="42625"/>
    <n v="4262.5"/>
    <n v="38362.5"/>
    <n v="40920"/>
    <n v="-2557.5"/>
    <x v="14"/>
    <n v="5"/>
    <s v="May"/>
    <x v="0"/>
    <n v="-6.6666666666666666E-2"/>
    <n v="0.1"/>
    <s v="Medium"/>
    <n v="1.0666666666666667"/>
    <s v="Loss ❌"/>
  </r>
  <r>
    <x v="1"/>
    <x v="3"/>
    <x v="4"/>
    <x v="3"/>
    <n v="641"/>
    <n v="250"/>
    <n v="15"/>
    <n v="9615"/>
    <n v="961.5"/>
    <n v="8653.5"/>
    <n v="6410"/>
    <n v="2243.5"/>
    <x v="4"/>
    <n v="7"/>
    <s v="July"/>
    <x v="0"/>
    <n v="0.25925925925925924"/>
    <n v="0.1"/>
    <s v="Small"/>
    <n v="0.7407407407407407"/>
    <s v="Profitable ✅"/>
  </r>
  <r>
    <x v="0"/>
    <x v="4"/>
    <x v="4"/>
    <x v="3"/>
    <n v="2807"/>
    <n v="250"/>
    <n v="350"/>
    <n v="982450"/>
    <n v="98245"/>
    <n v="884205"/>
    <n v="729820"/>
    <n v="154385"/>
    <x v="5"/>
    <n v="8"/>
    <s v="August"/>
    <x v="0"/>
    <n v="0.17460317460317459"/>
    <n v="0.1"/>
    <s v="Enterprise"/>
    <n v="0.82539682539682535"/>
    <s v="Profitable ✅"/>
  </r>
  <r>
    <x v="4"/>
    <x v="3"/>
    <x v="4"/>
    <x v="3"/>
    <n v="432"/>
    <n v="250"/>
    <n v="300"/>
    <n v="129600"/>
    <n v="12960"/>
    <n v="116640"/>
    <n v="108000"/>
    <n v="8640"/>
    <x v="6"/>
    <n v="9"/>
    <s v="September"/>
    <x v="0"/>
    <n v="7.407407407407407E-2"/>
    <n v="0.1"/>
    <s v="Large"/>
    <n v="0.92592592592592593"/>
    <s v="Profitable ✅"/>
  </r>
  <r>
    <x v="4"/>
    <x v="4"/>
    <x v="4"/>
    <x v="3"/>
    <n v="2294"/>
    <n v="250"/>
    <n v="300"/>
    <n v="688200"/>
    <n v="68820"/>
    <n v="619380"/>
    <n v="573500"/>
    <n v="45880"/>
    <x v="7"/>
    <n v="10"/>
    <s v="October"/>
    <x v="1"/>
    <n v="7.407407407407407E-2"/>
    <n v="0.1"/>
    <s v="Enterprise"/>
    <n v="0.92592592592592593"/>
    <s v="Profitable ✅"/>
  </r>
  <r>
    <x v="1"/>
    <x v="2"/>
    <x v="4"/>
    <x v="3"/>
    <n v="2167"/>
    <n v="250"/>
    <n v="15"/>
    <n v="32505"/>
    <n v="3250.5"/>
    <n v="29254.5"/>
    <n v="21670"/>
    <n v="7584.5"/>
    <x v="7"/>
    <n v="10"/>
    <s v="October"/>
    <x v="1"/>
    <n v="0.25925925925925924"/>
    <n v="0.1"/>
    <s v="Medium"/>
    <n v="0.7407407407407407"/>
    <s v="Profitable ✅"/>
  </r>
  <r>
    <x v="3"/>
    <x v="0"/>
    <x v="4"/>
    <x v="3"/>
    <n v="2529"/>
    <n v="250"/>
    <n v="125"/>
    <n v="316125"/>
    <n v="31612.5"/>
    <n v="284512.5"/>
    <n v="303480"/>
    <n v="-18967.5"/>
    <x v="15"/>
    <n v="11"/>
    <s v="November"/>
    <x v="0"/>
    <n v="-6.6666666666666666E-2"/>
    <n v="0.1"/>
    <s v="Enterprise"/>
    <n v="1.0666666666666667"/>
    <s v="Loss ❌"/>
  </r>
  <r>
    <x v="0"/>
    <x v="1"/>
    <x v="4"/>
    <x v="3"/>
    <n v="1870"/>
    <n v="250"/>
    <n v="350"/>
    <n v="654500"/>
    <n v="65450"/>
    <n v="589050"/>
    <n v="486200"/>
    <n v="102850"/>
    <x v="12"/>
    <n v="12"/>
    <s v="December"/>
    <x v="1"/>
    <n v="0.17460317460317459"/>
    <n v="0.1"/>
    <s v="Enterprise"/>
    <n v="0.82539682539682535"/>
    <s v="Profitable ✅"/>
  </r>
  <r>
    <x v="3"/>
    <x v="4"/>
    <x v="5"/>
    <x v="3"/>
    <n v="579"/>
    <n v="260"/>
    <n v="125"/>
    <n v="72375"/>
    <n v="7237.5"/>
    <n v="65137.5"/>
    <n v="69480"/>
    <n v="-4342.5"/>
    <x v="0"/>
    <n v="1"/>
    <s v="January"/>
    <x v="0"/>
    <n v="-6.6666666666666666E-2"/>
    <n v="0.1"/>
    <s v="Large"/>
    <n v="1.0666666666666667"/>
    <s v="Loss ❌"/>
  </r>
  <r>
    <x v="0"/>
    <x v="0"/>
    <x v="5"/>
    <x v="3"/>
    <n v="2240"/>
    <n v="260"/>
    <n v="350"/>
    <n v="784000"/>
    <n v="78400"/>
    <n v="705600"/>
    <n v="582400"/>
    <n v="123200"/>
    <x v="8"/>
    <n v="2"/>
    <s v="February"/>
    <x v="0"/>
    <n v="0.17460317460317459"/>
    <n v="0.1"/>
    <s v="Enterprise"/>
    <n v="0.82539682539682535"/>
    <s v="Profitable ✅"/>
  </r>
  <r>
    <x v="4"/>
    <x v="4"/>
    <x v="5"/>
    <x v="3"/>
    <n v="2993"/>
    <n v="260"/>
    <n v="300"/>
    <n v="897900"/>
    <n v="89790"/>
    <n v="808110"/>
    <n v="748250"/>
    <n v="59860"/>
    <x v="3"/>
    <n v="3"/>
    <s v="March"/>
    <x v="0"/>
    <n v="7.407407407407407E-2"/>
    <n v="0.1"/>
    <s v="Enterprise"/>
    <n v="0.92592592592592593"/>
    <s v="Profitable ✅"/>
  </r>
  <r>
    <x v="2"/>
    <x v="0"/>
    <x v="5"/>
    <x v="3"/>
    <n v="3520.5"/>
    <n v="260"/>
    <n v="12"/>
    <n v="42246"/>
    <n v="4224.6000000000004"/>
    <n v="38021.399999999994"/>
    <n v="10561.5"/>
    <n v="27459.899999999998"/>
    <x v="13"/>
    <n v="4"/>
    <s v="April"/>
    <x v="0"/>
    <n v="0.72222222222222232"/>
    <n v="0.1"/>
    <s v="Medium"/>
    <n v="0.27777777777777785"/>
    <s v="Profitable ✅"/>
  </r>
  <r>
    <x v="0"/>
    <x v="3"/>
    <x v="5"/>
    <x v="3"/>
    <n v="2039"/>
    <n v="260"/>
    <n v="20"/>
    <n v="40780"/>
    <n v="4078"/>
    <n v="36702"/>
    <n v="20390"/>
    <n v="16312"/>
    <x v="14"/>
    <n v="5"/>
    <s v="May"/>
    <x v="0"/>
    <n v="0.44444444444444442"/>
    <n v="0.1"/>
    <s v="Medium"/>
    <n v="0.55555555555555558"/>
    <s v="Profitable ✅"/>
  </r>
  <r>
    <x v="2"/>
    <x v="1"/>
    <x v="5"/>
    <x v="3"/>
    <n v="2574"/>
    <n v="260"/>
    <n v="12"/>
    <n v="30888"/>
    <n v="3088.8"/>
    <n v="27799.200000000001"/>
    <n v="7722"/>
    <n v="20077.2"/>
    <x v="5"/>
    <n v="8"/>
    <s v="August"/>
    <x v="0"/>
    <n v="0.72222222222222221"/>
    <n v="0.1"/>
    <s v="Medium"/>
    <n v="0.27777777777777779"/>
    <s v="Profitable ✅"/>
  </r>
  <r>
    <x v="0"/>
    <x v="0"/>
    <x v="5"/>
    <x v="3"/>
    <n v="707"/>
    <n v="260"/>
    <n v="350"/>
    <n v="247450"/>
    <n v="24745"/>
    <n v="222705"/>
    <n v="183820"/>
    <n v="38885"/>
    <x v="6"/>
    <n v="9"/>
    <s v="September"/>
    <x v="0"/>
    <n v="0.17460317460317459"/>
    <n v="0.1"/>
    <s v="Enterprise"/>
    <n v="0.82539682539682535"/>
    <s v="Profitable ✅"/>
  </r>
  <r>
    <x v="1"/>
    <x v="2"/>
    <x v="5"/>
    <x v="3"/>
    <n v="2072"/>
    <n v="260"/>
    <n v="15"/>
    <n v="31080"/>
    <n v="3108"/>
    <n v="27972"/>
    <n v="20720"/>
    <n v="7252"/>
    <x v="2"/>
    <n v="12"/>
    <s v="December"/>
    <x v="0"/>
    <n v="0.25925925925925924"/>
    <n v="0.1"/>
    <s v="Medium"/>
    <n v="0.7407407407407407"/>
    <s v="Profitable ✅"/>
  </r>
  <r>
    <x v="4"/>
    <x v="2"/>
    <x v="5"/>
    <x v="3"/>
    <n v="853"/>
    <n v="260"/>
    <n v="300"/>
    <n v="255900"/>
    <n v="25590"/>
    <n v="230310"/>
    <n v="213250"/>
    <n v="17060"/>
    <x v="2"/>
    <n v="12"/>
    <s v="December"/>
    <x v="0"/>
    <n v="7.407407407407407E-2"/>
    <n v="0.1"/>
    <s v="Enterprise"/>
    <n v="0.92592592592592593"/>
    <s v="Profitable ✅"/>
  </r>
  <r>
    <x v="2"/>
    <x v="2"/>
    <x v="0"/>
    <x v="3"/>
    <n v="1198"/>
    <n v="3"/>
    <n v="12"/>
    <n v="14376"/>
    <n v="1581.36"/>
    <n v="12794.64"/>
    <n v="3594"/>
    <n v="9200.64"/>
    <x v="7"/>
    <n v="10"/>
    <s v="October"/>
    <x v="1"/>
    <n v="0.7191011235955056"/>
    <n v="0.10999999999999999"/>
    <s v="Medium"/>
    <n v="0.2808988764044944"/>
    <s v="Profitable ✅"/>
  </r>
  <r>
    <x v="0"/>
    <x v="2"/>
    <x v="2"/>
    <x v="3"/>
    <n v="2532"/>
    <n v="10"/>
    <n v="7"/>
    <n v="17724"/>
    <n v="1949.6399999999999"/>
    <n v="15774.36"/>
    <n v="12660"/>
    <n v="3114.3599999999997"/>
    <x v="13"/>
    <n v="4"/>
    <s v="April"/>
    <x v="0"/>
    <n v="0.1974317817014446"/>
    <n v="0.10999999999999999"/>
    <s v="Medium"/>
    <n v="0.8025682182985554"/>
    <s v="Profitable ✅"/>
  </r>
  <r>
    <x v="2"/>
    <x v="2"/>
    <x v="2"/>
    <x v="3"/>
    <n v="1198"/>
    <n v="10"/>
    <n v="12"/>
    <n v="14376"/>
    <n v="1581.36"/>
    <n v="12794.64"/>
    <n v="3594"/>
    <n v="9200.64"/>
    <x v="7"/>
    <n v="10"/>
    <s v="October"/>
    <x v="1"/>
    <n v="0.7191011235955056"/>
    <n v="0.10999999999999999"/>
    <s v="Medium"/>
    <n v="0.2808988764044944"/>
    <s v="Profitable ✅"/>
  </r>
  <r>
    <x v="1"/>
    <x v="0"/>
    <x v="3"/>
    <x v="3"/>
    <n v="384"/>
    <n v="120"/>
    <n v="15"/>
    <n v="5760"/>
    <n v="633.59999999999991"/>
    <n v="5126.3999999999996"/>
    <n v="3840"/>
    <n v="1286.3999999999999"/>
    <x v="0"/>
    <n v="1"/>
    <s v="January"/>
    <x v="0"/>
    <n v="0.25093632958801498"/>
    <n v="0.10999999999999999"/>
    <s v="Small"/>
    <n v="0.74906367041198507"/>
    <s v="Profitable ✅"/>
  </r>
  <r>
    <x v="2"/>
    <x v="1"/>
    <x v="3"/>
    <x v="3"/>
    <n v="472"/>
    <n v="120"/>
    <n v="12"/>
    <n v="5664"/>
    <n v="623.04"/>
    <n v="5040.96"/>
    <n v="1416"/>
    <n v="3624.96"/>
    <x v="10"/>
    <n v="10"/>
    <s v="October"/>
    <x v="0"/>
    <n v="0.7191011235955056"/>
    <n v="0.10999999999999999"/>
    <s v="Small"/>
    <n v="0.2808988764044944"/>
    <s v="Profitable ✅"/>
  </r>
  <r>
    <x v="0"/>
    <x v="4"/>
    <x v="4"/>
    <x v="3"/>
    <n v="1579"/>
    <n v="250"/>
    <n v="7"/>
    <n v="11053"/>
    <n v="1215.83"/>
    <n v="9837.17"/>
    <n v="7895"/>
    <n v="1942.17"/>
    <x v="3"/>
    <n v="3"/>
    <s v="March"/>
    <x v="0"/>
    <n v="0.19743178170144463"/>
    <n v="0.10999999999999999"/>
    <s v="Small"/>
    <n v="0.8025682182985554"/>
    <s v="Profitable ✅"/>
  </r>
  <r>
    <x v="2"/>
    <x v="3"/>
    <x v="4"/>
    <x v="3"/>
    <n v="1005"/>
    <n v="250"/>
    <n v="12"/>
    <n v="12060"/>
    <n v="1326.6"/>
    <n v="10733.4"/>
    <n v="3015"/>
    <n v="7718.4"/>
    <x v="9"/>
    <n v="9"/>
    <s v="September"/>
    <x v="1"/>
    <n v="0.7191011235955056"/>
    <n v="0.10999999999999999"/>
    <s v="Medium"/>
    <n v="0.2808988764044944"/>
    <s v="Profitable ✅"/>
  </r>
  <r>
    <x v="1"/>
    <x v="4"/>
    <x v="5"/>
    <x v="3"/>
    <n v="3199.5"/>
    <n v="260"/>
    <n v="15"/>
    <n v="47992.5"/>
    <n v="5279.1749999999993"/>
    <n v="42713.324999999997"/>
    <n v="31995"/>
    <n v="10718.324999999999"/>
    <x v="4"/>
    <n v="7"/>
    <s v="July"/>
    <x v="0"/>
    <n v="0.25093632958801498"/>
    <n v="0.10999999999999999"/>
    <s v="Medium"/>
    <n v="0.74906367041198507"/>
    <s v="Profitable ✅"/>
  </r>
  <r>
    <x v="2"/>
    <x v="1"/>
    <x v="5"/>
    <x v="3"/>
    <n v="472"/>
    <n v="260"/>
    <n v="12"/>
    <n v="5664"/>
    <n v="623.04"/>
    <n v="5040.96"/>
    <n v="1416"/>
    <n v="3624.96"/>
    <x v="10"/>
    <n v="10"/>
    <s v="October"/>
    <x v="0"/>
    <n v="0.7191011235955056"/>
    <n v="0.10999999999999999"/>
    <s v="Small"/>
    <n v="0.2808988764044944"/>
    <s v="Profitable ✅"/>
  </r>
  <r>
    <x v="2"/>
    <x v="0"/>
    <x v="0"/>
    <x v="3"/>
    <n v="1937"/>
    <n v="3"/>
    <n v="12"/>
    <n v="23244"/>
    <n v="2556.84"/>
    <n v="20687.16"/>
    <n v="5811"/>
    <n v="14876.16"/>
    <x v="8"/>
    <n v="2"/>
    <s v="February"/>
    <x v="0"/>
    <n v="0.7191011235955056"/>
    <n v="0.11"/>
    <s v="Medium"/>
    <n v="0.2808988764044944"/>
    <s v="Profitable ✅"/>
  </r>
  <r>
    <x v="0"/>
    <x v="1"/>
    <x v="0"/>
    <x v="3"/>
    <n v="792"/>
    <n v="3"/>
    <n v="350"/>
    <n v="277200"/>
    <n v="30492"/>
    <n v="246708"/>
    <n v="205920"/>
    <n v="40788"/>
    <x v="3"/>
    <n v="3"/>
    <s v="March"/>
    <x v="0"/>
    <n v="0.1653290529695024"/>
    <n v="0.11"/>
    <s v="Enterprise"/>
    <n v="0.8346709470304976"/>
    <s v="Profitable ✅"/>
  </r>
  <r>
    <x v="4"/>
    <x v="1"/>
    <x v="0"/>
    <x v="3"/>
    <n v="2811"/>
    <n v="3"/>
    <n v="300"/>
    <n v="843300"/>
    <n v="92763"/>
    <n v="750537"/>
    <n v="702750"/>
    <n v="47787"/>
    <x v="4"/>
    <n v="7"/>
    <s v="July"/>
    <x v="0"/>
    <n v="6.3670411985018729E-2"/>
    <n v="0.11"/>
    <s v="Enterprise"/>
    <n v="0.93632958801498123"/>
    <s v="Profitable ✅"/>
  </r>
  <r>
    <x v="3"/>
    <x v="2"/>
    <x v="0"/>
    <x v="3"/>
    <n v="2441"/>
    <n v="3"/>
    <n v="125"/>
    <n v="305125"/>
    <n v="33563.75"/>
    <n v="271561.25"/>
    <n v="292920"/>
    <n v="-21358.75"/>
    <x v="10"/>
    <n v="10"/>
    <s v="October"/>
    <x v="0"/>
    <n v="-7.8651685393258425E-2"/>
    <n v="0.11"/>
    <s v="Enterprise"/>
    <n v="1.0786516853932584"/>
    <s v="Loss ❌"/>
  </r>
  <r>
    <x v="1"/>
    <x v="0"/>
    <x v="0"/>
    <x v="3"/>
    <n v="1560"/>
    <n v="3"/>
    <n v="15"/>
    <n v="23400"/>
    <n v="2574"/>
    <n v="20826"/>
    <n v="15600"/>
    <n v="5226"/>
    <x v="11"/>
    <n v="11"/>
    <s v="November"/>
    <x v="1"/>
    <n v="0.25093632958801498"/>
    <n v="0.11"/>
    <s v="Medium"/>
    <n v="0.74906367041198507"/>
    <s v="Profitable ✅"/>
  </r>
  <r>
    <x v="0"/>
    <x v="3"/>
    <x v="0"/>
    <x v="3"/>
    <n v="2706"/>
    <n v="3"/>
    <n v="7"/>
    <n v="18942"/>
    <n v="2083.62"/>
    <n v="16858.38"/>
    <n v="13530"/>
    <n v="3328.380000000001"/>
    <x v="11"/>
    <n v="11"/>
    <s v="November"/>
    <x v="1"/>
    <n v="0.19743178170144468"/>
    <n v="0.11"/>
    <s v="Medium"/>
    <n v="0.80256821829855529"/>
    <s v="Profitable ✅"/>
  </r>
  <r>
    <x v="0"/>
    <x v="1"/>
    <x v="1"/>
    <x v="3"/>
    <n v="766"/>
    <n v="5"/>
    <n v="350"/>
    <n v="268100"/>
    <n v="29491"/>
    <n v="238609"/>
    <n v="199160"/>
    <n v="39449"/>
    <x v="0"/>
    <n v="1"/>
    <s v="January"/>
    <x v="0"/>
    <n v="0.1653290529695024"/>
    <n v="0.11"/>
    <s v="Enterprise"/>
    <n v="0.8346709470304976"/>
    <s v="Profitable ✅"/>
  </r>
  <r>
    <x v="0"/>
    <x v="1"/>
    <x v="1"/>
    <x v="3"/>
    <n v="2992"/>
    <n v="5"/>
    <n v="20"/>
    <n v="59840"/>
    <n v="6582.4"/>
    <n v="53257.599999999999"/>
    <n v="29920"/>
    <n v="23337.599999999999"/>
    <x v="7"/>
    <n v="10"/>
    <s v="October"/>
    <x v="1"/>
    <n v="0.4382022471910112"/>
    <n v="0.11"/>
    <s v="Large"/>
    <n v="0.5617977528089888"/>
    <s v="Profitable ✅"/>
  </r>
  <r>
    <x v="1"/>
    <x v="3"/>
    <x v="1"/>
    <x v="3"/>
    <n v="2157"/>
    <n v="5"/>
    <n v="15"/>
    <n v="32355"/>
    <n v="3559.05"/>
    <n v="28795.95"/>
    <n v="21570"/>
    <n v="7225.9500000000007"/>
    <x v="2"/>
    <n v="12"/>
    <s v="December"/>
    <x v="0"/>
    <n v="0.25093632958801498"/>
    <n v="0.11"/>
    <s v="Medium"/>
    <n v="0.74906367041198496"/>
    <s v="Profitable ✅"/>
  </r>
  <r>
    <x v="4"/>
    <x v="0"/>
    <x v="2"/>
    <x v="3"/>
    <n v="873"/>
    <n v="10"/>
    <n v="300"/>
    <n v="261900"/>
    <n v="28809"/>
    <n v="233091"/>
    <n v="218250"/>
    <n v="14841"/>
    <x v="0"/>
    <n v="1"/>
    <s v="January"/>
    <x v="0"/>
    <n v="6.3670411985018729E-2"/>
    <n v="0.11"/>
    <s v="Enterprise"/>
    <n v="0.93632958801498123"/>
    <s v="Profitable ✅"/>
  </r>
  <r>
    <x v="0"/>
    <x v="3"/>
    <x v="2"/>
    <x v="3"/>
    <n v="1122"/>
    <n v="10"/>
    <n v="20"/>
    <n v="22440"/>
    <n v="2468.4"/>
    <n v="19971.599999999999"/>
    <n v="11220"/>
    <n v="8751.5999999999985"/>
    <x v="3"/>
    <n v="3"/>
    <s v="March"/>
    <x v="0"/>
    <n v="0.4382022471910112"/>
    <n v="0.11"/>
    <s v="Medium"/>
    <n v="0.5617977528089888"/>
    <s v="Profitable ✅"/>
  </r>
  <r>
    <x v="0"/>
    <x v="0"/>
    <x v="2"/>
    <x v="3"/>
    <n v="2104.5"/>
    <n v="10"/>
    <n v="350"/>
    <n v="736575"/>
    <n v="81023.25"/>
    <n v="655551.75"/>
    <n v="547170"/>
    <n v="108381.75"/>
    <x v="4"/>
    <n v="7"/>
    <s v="July"/>
    <x v="0"/>
    <n v="0.1653290529695024"/>
    <n v="0.11"/>
    <s v="Enterprise"/>
    <n v="0.8346709470304976"/>
    <s v="Profitable ✅"/>
  </r>
  <r>
    <x v="2"/>
    <x v="0"/>
    <x v="2"/>
    <x v="3"/>
    <n v="4026"/>
    <n v="10"/>
    <n v="12"/>
    <n v="48312"/>
    <n v="5314.32"/>
    <n v="42997.68"/>
    <n v="12078"/>
    <n v="30919.68"/>
    <x v="4"/>
    <n v="7"/>
    <s v="July"/>
    <x v="0"/>
    <n v="0.7191011235955056"/>
    <n v="0.11"/>
    <s v="Medium"/>
    <n v="0.2808988764044944"/>
    <s v="Profitable ✅"/>
  </r>
  <r>
    <x v="2"/>
    <x v="2"/>
    <x v="2"/>
    <x v="3"/>
    <n v="2425.5"/>
    <n v="10"/>
    <n v="12"/>
    <n v="29106"/>
    <n v="3201.66"/>
    <n v="25904.340000000004"/>
    <n v="7276.5"/>
    <n v="18627.840000000004"/>
    <x v="4"/>
    <n v="7"/>
    <s v="July"/>
    <x v="0"/>
    <n v="0.71910112359550571"/>
    <n v="0.11"/>
    <s v="Medium"/>
    <n v="0.28089887640449435"/>
    <s v="Profitable ✅"/>
  </r>
  <r>
    <x v="0"/>
    <x v="0"/>
    <x v="2"/>
    <x v="3"/>
    <n v="2394"/>
    <n v="10"/>
    <n v="20"/>
    <n v="47880"/>
    <n v="5266.8"/>
    <n v="42613.2"/>
    <n v="23940"/>
    <n v="18673.199999999997"/>
    <x v="5"/>
    <n v="8"/>
    <s v="August"/>
    <x v="0"/>
    <n v="0.4382022471910112"/>
    <n v="0.11"/>
    <s v="Medium"/>
    <n v="0.5617977528089888"/>
    <s v="Profitable ✅"/>
  </r>
  <r>
    <x v="1"/>
    <x v="3"/>
    <x v="2"/>
    <x v="3"/>
    <n v="1984"/>
    <n v="10"/>
    <n v="15"/>
    <n v="29760"/>
    <n v="3273.6"/>
    <n v="26486.400000000001"/>
    <n v="19840"/>
    <n v="6646.4000000000015"/>
    <x v="5"/>
    <n v="8"/>
    <s v="August"/>
    <x v="0"/>
    <n v="0.25093632958801504"/>
    <n v="0.11"/>
    <s v="Medium"/>
    <n v="0.74906367041198496"/>
    <s v="Profitable ✅"/>
  </r>
  <r>
    <x v="3"/>
    <x v="2"/>
    <x v="2"/>
    <x v="3"/>
    <n v="2441"/>
    <n v="10"/>
    <n v="125"/>
    <n v="305125"/>
    <n v="33563.75"/>
    <n v="271561.25"/>
    <n v="292920"/>
    <n v="-21358.75"/>
    <x v="10"/>
    <n v="10"/>
    <s v="October"/>
    <x v="0"/>
    <n v="-7.8651685393258425E-2"/>
    <n v="0.11"/>
    <s v="Enterprise"/>
    <n v="1.0786516853932584"/>
    <s v="Loss ❌"/>
  </r>
  <r>
    <x v="0"/>
    <x v="1"/>
    <x v="2"/>
    <x v="3"/>
    <n v="2992"/>
    <n v="10"/>
    <n v="20"/>
    <n v="59840"/>
    <n v="6582.4"/>
    <n v="53257.599999999999"/>
    <n v="29920"/>
    <n v="23337.599999999999"/>
    <x v="7"/>
    <n v="10"/>
    <s v="October"/>
    <x v="1"/>
    <n v="0.4382022471910112"/>
    <n v="0.11"/>
    <s v="Large"/>
    <n v="0.5617977528089888"/>
    <s v="Profitable ✅"/>
  </r>
  <r>
    <x v="4"/>
    <x v="0"/>
    <x v="2"/>
    <x v="3"/>
    <n v="1366"/>
    <n v="10"/>
    <n v="300"/>
    <n v="409800"/>
    <n v="45078"/>
    <n v="364722"/>
    <n v="341500"/>
    <n v="23222"/>
    <x v="15"/>
    <n v="11"/>
    <s v="November"/>
    <x v="0"/>
    <n v="6.3670411985018729E-2"/>
    <n v="0.11"/>
    <s v="Enterprise"/>
    <n v="0.93632958801498123"/>
    <s v="Profitable ✅"/>
  </r>
  <r>
    <x v="0"/>
    <x v="2"/>
    <x v="3"/>
    <x v="3"/>
    <n v="2805"/>
    <n v="120"/>
    <n v="20"/>
    <n v="56100"/>
    <n v="6171"/>
    <n v="49929"/>
    <n v="28050"/>
    <n v="21879"/>
    <x v="9"/>
    <n v="9"/>
    <s v="September"/>
    <x v="1"/>
    <n v="0.43820224719101125"/>
    <n v="0.11"/>
    <s v="Medium"/>
    <n v="0.5617977528089888"/>
    <s v="Profitable ✅"/>
  </r>
  <r>
    <x v="1"/>
    <x v="3"/>
    <x v="3"/>
    <x v="3"/>
    <n v="655"/>
    <n v="120"/>
    <n v="15"/>
    <n v="9825"/>
    <n v="1080.75"/>
    <n v="8744.25"/>
    <n v="6550"/>
    <n v="2194.25"/>
    <x v="9"/>
    <n v="9"/>
    <s v="September"/>
    <x v="1"/>
    <n v="0.25093632958801498"/>
    <n v="0.11"/>
    <s v="Small"/>
    <n v="0.74906367041198507"/>
    <s v="Profitable ✅"/>
  </r>
  <r>
    <x v="0"/>
    <x v="3"/>
    <x v="3"/>
    <x v="3"/>
    <n v="344"/>
    <n v="120"/>
    <n v="350"/>
    <n v="120400"/>
    <n v="13244"/>
    <n v="107156"/>
    <n v="89440"/>
    <n v="17716"/>
    <x v="7"/>
    <n v="10"/>
    <s v="October"/>
    <x v="1"/>
    <n v="0.1653290529695024"/>
    <n v="0.11"/>
    <s v="Large"/>
    <n v="0.8346709470304976"/>
    <s v="Profitable ✅"/>
  </r>
  <r>
    <x v="0"/>
    <x v="0"/>
    <x v="3"/>
    <x v="3"/>
    <n v="1808"/>
    <n v="120"/>
    <n v="7"/>
    <n v="12656"/>
    <n v="1392.16"/>
    <n v="11263.84"/>
    <n v="9040"/>
    <n v="2223.84"/>
    <x v="15"/>
    <n v="11"/>
    <s v="November"/>
    <x v="0"/>
    <n v="0.19743178170144463"/>
    <n v="0.11"/>
    <s v="Medium"/>
    <n v="0.8025682182985554"/>
    <s v="Profitable ✅"/>
  </r>
  <r>
    <x v="2"/>
    <x v="2"/>
    <x v="4"/>
    <x v="3"/>
    <n v="1734"/>
    <n v="250"/>
    <n v="12"/>
    <n v="20808"/>
    <n v="2288.88"/>
    <n v="18519.12"/>
    <n v="5202"/>
    <n v="13317.119999999999"/>
    <x v="0"/>
    <n v="1"/>
    <s v="January"/>
    <x v="0"/>
    <n v="0.7191011235955056"/>
    <n v="0.11"/>
    <s v="Medium"/>
    <n v="0.2808988764044944"/>
    <s v="Profitable ✅"/>
  </r>
  <r>
    <x v="3"/>
    <x v="3"/>
    <x v="4"/>
    <x v="3"/>
    <n v="554"/>
    <n v="250"/>
    <n v="125"/>
    <n v="69250"/>
    <n v="7617.5"/>
    <n v="61632.5"/>
    <n v="66480"/>
    <n v="-4847.5"/>
    <x v="0"/>
    <n v="1"/>
    <s v="January"/>
    <x v="0"/>
    <n v="-7.8651685393258425E-2"/>
    <n v="0.11"/>
    <s v="Large"/>
    <n v="1.0786516853932584"/>
    <s v="Loss ❌"/>
  </r>
  <r>
    <x v="0"/>
    <x v="0"/>
    <x v="4"/>
    <x v="3"/>
    <n v="2935"/>
    <n v="250"/>
    <n v="20"/>
    <n v="58700"/>
    <n v="6457"/>
    <n v="52243"/>
    <n v="29350"/>
    <n v="22893"/>
    <x v="11"/>
    <n v="11"/>
    <s v="November"/>
    <x v="1"/>
    <n v="0.43820224719101125"/>
    <n v="0.11"/>
    <s v="Large"/>
    <n v="0.5617977528089888"/>
    <s v="Profitable ✅"/>
  </r>
  <r>
    <x v="3"/>
    <x v="1"/>
    <x v="5"/>
    <x v="3"/>
    <n v="3165"/>
    <n v="260"/>
    <n v="125"/>
    <n v="395625"/>
    <n v="43518.75"/>
    <n v="352106.25"/>
    <n v="379800"/>
    <n v="-27693.75"/>
    <x v="0"/>
    <n v="1"/>
    <s v="January"/>
    <x v="0"/>
    <n v="-7.8651685393258425E-2"/>
    <n v="0.11"/>
    <s v="Enterprise"/>
    <n v="1.0786516853932584"/>
    <s v="Loss ❌"/>
  </r>
  <r>
    <x v="0"/>
    <x v="3"/>
    <x v="5"/>
    <x v="3"/>
    <n v="2629"/>
    <n v="260"/>
    <n v="20"/>
    <n v="52580"/>
    <n v="5783.8"/>
    <n v="46796.2"/>
    <n v="26290"/>
    <n v="20506.199999999997"/>
    <x v="0"/>
    <n v="1"/>
    <s v="January"/>
    <x v="0"/>
    <n v="0.4382022471910112"/>
    <n v="0.11"/>
    <s v="Medium"/>
    <n v="0.5617977528089888"/>
    <s v="Profitable ✅"/>
  </r>
  <r>
    <x v="3"/>
    <x v="2"/>
    <x v="5"/>
    <x v="3"/>
    <n v="1433"/>
    <n v="260"/>
    <n v="125"/>
    <n v="179125"/>
    <n v="19703.75"/>
    <n v="159421.25"/>
    <n v="171960"/>
    <n v="-12538.75"/>
    <x v="14"/>
    <n v="5"/>
    <s v="May"/>
    <x v="0"/>
    <n v="-7.8651685393258425E-2"/>
    <n v="0.11"/>
    <s v="Large"/>
    <n v="1.0786516853932584"/>
    <s v="Loss ❌"/>
  </r>
  <r>
    <x v="3"/>
    <x v="3"/>
    <x v="5"/>
    <x v="3"/>
    <n v="947"/>
    <n v="260"/>
    <n v="125"/>
    <n v="118375"/>
    <n v="13021.25"/>
    <n v="105353.75"/>
    <n v="113640"/>
    <n v="-8286.25"/>
    <x v="9"/>
    <n v="9"/>
    <s v="September"/>
    <x v="1"/>
    <n v="-7.8651685393258425E-2"/>
    <n v="0.11"/>
    <s v="Large"/>
    <n v="1.0786516853932584"/>
    <s v="Loss ❌"/>
  </r>
  <r>
    <x v="0"/>
    <x v="3"/>
    <x v="5"/>
    <x v="3"/>
    <n v="344"/>
    <n v="260"/>
    <n v="350"/>
    <n v="120400"/>
    <n v="13244"/>
    <n v="107156"/>
    <n v="89440"/>
    <n v="17716"/>
    <x v="7"/>
    <n v="10"/>
    <s v="October"/>
    <x v="1"/>
    <n v="0.1653290529695024"/>
    <n v="0.11"/>
    <s v="Large"/>
    <n v="0.8346709470304976"/>
    <s v="Profitable ✅"/>
  </r>
  <r>
    <x v="1"/>
    <x v="3"/>
    <x v="5"/>
    <x v="3"/>
    <n v="2157"/>
    <n v="260"/>
    <n v="15"/>
    <n v="32355"/>
    <n v="3559.05"/>
    <n v="28795.95"/>
    <n v="21570"/>
    <n v="7225.9500000000007"/>
    <x v="2"/>
    <n v="12"/>
    <s v="December"/>
    <x v="0"/>
    <n v="0.25093632958801498"/>
    <n v="0.11"/>
    <s v="Medium"/>
    <n v="0.74906367041198496"/>
    <s v="Profitable ✅"/>
  </r>
  <r>
    <x v="0"/>
    <x v="4"/>
    <x v="2"/>
    <x v="3"/>
    <n v="380"/>
    <n v="10"/>
    <n v="7"/>
    <n v="2660"/>
    <n v="292.60000000000002"/>
    <n v="2367.4"/>
    <n v="1900"/>
    <n v="467.40000000000009"/>
    <x v="9"/>
    <n v="9"/>
    <s v="September"/>
    <x v="1"/>
    <n v="0.19743178170144465"/>
    <n v="0.11000000000000001"/>
    <s v="Small"/>
    <n v="0.80256821829855529"/>
    <s v="Profitable ✅"/>
  </r>
  <r>
    <x v="0"/>
    <x v="3"/>
    <x v="0"/>
    <x v="3"/>
    <n v="886"/>
    <n v="3"/>
    <n v="350"/>
    <n v="310100"/>
    <n v="37212"/>
    <n v="272888"/>
    <n v="230360"/>
    <n v="42528"/>
    <x v="1"/>
    <n v="6"/>
    <s v="June"/>
    <x v="0"/>
    <n v="0.15584415584415584"/>
    <n v="0.12"/>
    <s v="Enterprise"/>
    <n v="0.8441558441558441"/>
    <s v="Profitable ✅"/>
  </r>
  <r>
    <x v="3"/>
    <x v="0"/>
    <x v="0"/>
    <x v="3"/>
    <n v="2416"/>
    <n v="3"/>
    <n v="125"/>
    <n v="302000"/>
    <n v="36240"/>
    <n v="265760"/>
    <n v="289920"/>
    <n v="-24160"/>
    <x v="9"/>
    <n v="9"/>
    <s v="September"/>
    <x v="1"/>
    <n v="-9.0909090909090912E-2"/>
    <n v="0.12"/>
    <s v="Enterprise"/>
    <n v="1.0909090909090908"/>
    <s v="Loss ❌"/>
  </r>
  <r>
    <x v="3"/>
    <x v="3"/>
    <x v="0"/>
    <x v="3"/>
    <n v="2156"/>
    <n v="3"/>
    <n v="125"/>
    <n v="269500"/>
    <n v="32340"/>
    <n v="237160"/>
    <n v="258720"/>
    <n v="-21560"/>
    <x v="10"/>
    <n v="10"/>
    <s v="October"/>
    <x v="0"/>
    <n v="-9.0909090909090912E-2"/>
    <n v="0.12"/>
    <s v="Enterprise"/>
    <n v="1.0909090909090908"/>
    <s v="Loss ❌"/>
  </r>
  <r>
    <x v="1"/>
    <x v="0"/>
    <x v="0"/>
    <x v="3"/>
    <n v="2689"/>
    <n v="3"/>
    <n v="15"/>
    <n v="40335"/>
    <n v="4840.2"/>
    <n v="35494.800000000003"/>
    <n v="26890"/>
    <n v="8604.8000000000029"/>
    <x v="15"/>
    <n v="11"/>
    <s v="November"/>
    <x v="0"/>
    <n v="0.24242424242424249"/>
    <n v="0.12"/>
    <s v="Medium"/>
    <n v="0.75757575757575757"/>
    <s v="Profitable ✅"/>
  </r>
  <r>
    <x v="1"/>
    <x v="4"/>
    <x v="1"/>
    <x v="3"/>
    <n v="677"/>
    <n v="5"/>
    <n v="15"/>
    <n v="10155"/>
    <n v="1218.5999999999999"/>
    <n v="8936.4"/>
    <n v="6770"/>
    <n v="2166.3999999999996"/>
    <x v="3"/>
    <n v="3"/>
    <s v="March"/>
    <x v="0"/>
    <n v="0.2424242424242424"/>
    <n v="0.12"/>
    <s v="Small"/>
    <n v="0.75757575757575757"/>
    <s v="Profitable ✅"/>
  </r>
  <r>
    <x v="4"/>
    <x v="2"/>
    <x v="1"/>
    <x v="3"/>
    <n v="1773"/>
    <n v="5"/>
    <n v="300"/>
    <n v="531900"/>
    <n v="63828"/>
    <n v="468072"/>
    <n v="443250"/>
    <n v="24822"/>
    <x v="13"/>
    <n v="4"/>
    <s v="April"/>
    <x v="0"/>
    <n v="5.3030303030303032E-2"/>
    <n v="0.12"/>
    <s v="Enterprise"/>
    <n v="0.94696969696969702"/>
    <s v="Profitable ✅"/>
  </r>
  <r>
    <x v="0"/>
    <x v="3"/>
    <x v="1"/>
    <x v="3"/>
    <n v="2420"/>
    <n v="5"/>
    <n v="7"/>
    <n v="16940"/>
    <n v="2032.8"/>
    <n v="14907.2"/>
    <n v="12100"/>
    <n v="2807.2000000000007"/>
    <x v="6"/>
    <n v="9"/>
    <s v="September"/>
    <x v="0"/>
    <n v="0.18831168831168835"/>
    <n v="0.12"/>
    <s v="Medium"/>
    <n v="0.81168831168831168"/>
    <s v="Profitable ✅"/>
  </r>
  <r>
    <x v="0"/>
    <x v="0"/>
    <x v="1"/>
    <x v="3"/>
    <n v="2734"/>
    <n v="5"/>
    <n v="7"/>
    <n v="19138"/>
    <n v="2296.56"/>
    <n v="16841.439999999999"/>
    <n v="13670"/>
    <n v="3171.4399999999987"/>
    <x v="10"/>
    <n v="10"/>
    <s v="October"/>
    <x v="0"/>
    <n v="0.18831168831168824"/>
    <n v="0.12"/>
    <s v="Medium"/>
    <n v="0.81168831168831179"/>
    <s v="Profitable ✅"/>
  </r>
  <r>
    <x v="0"/>
    <x v="3"/>
    <x v="1"/>
    <x v="3"/>
    <n v="1715"/>
    <n v="5"/>
    <n v="20"/>
    <n v="34300"/>
    <n v="4116"/>
    <n v="30184"/>
    <n v="17150"/>
    <n v="13034"/>
    <x v="7"/>
    <n v="10"/>
    <s v="October"/>
    <x v="1"/>
    <n v="0.43181818181818182"/>
    <n v="0.12"/>
    <s v="Medium"/>
    <n v="0.56818181818181823"/>
    <s v="Profitable ✅"/>
  </r>
  <r>
    <x v="4"/>
    <x v="2"/>
    <x v="1"/>
    <x v="3"/>
    <n v="1186"/>
    <n v="5"/>
    <n v="300"/>
    <n v="355800"/>
    <n v="42696"/>
    <n v="313104"/>
    <n v="296500"/>
    <n v="16604"/>
    <x v="12"/>
    <n v="12"/>
    <s v="December"/>
    <x v="1"/>
    <n v="5.3030303030303032E-2"/>
    <n v="0.12"/>
    <s v="Enterprise"/>
    <n v="0.94696969696969702"/>
    <s v="Profitable ✅"/>
  </r>
  <r>
    <x v="4"/>
    <x v="4"/>
    <x v="2"/>
    <x v="3"/>
    <n v="3495"/>
    <n v="10"/>
    <n v="300"/>
    <n v="1048500"/>
    <n v="125820"/>
    <n v="922680"/>
    <n v="873750"/>
    <n v="48930"/>
    <x v="0"/>
    <n v="1"/>
    <s v="January"/>
    <x v="0"/>
    <n v="5.3030303030303032E-2"/>
    <n v="0.12"/>
    <s v="Enterprise"/>
    <n v="0.94696969696969702"/>
    <s v="Profitable ✅"/>
  </r>
  <r>
    <x v="0"/>
    <x v="3"/>
    <x v="2"/>
    <x v="3"/>
    <n v="886"/>
    <n v="10"/>
    <n v="350"/>
    <n v="310100"/>
    <n v="37212"/>
    <n v="272888"/>
    <n v="230360"/>
    <n v="42528"/>
    <x v="1"/>
    <n v="6"/>
    <s v="June"/>
    <x v="0"/>
    <n v="0.15584415584415584"/>
    <n v="0.12"/>
    <s v="Enterprise"/>
    <n v="0.8441558441558441"/>
    <s v="Profitable ✅"/>
  </r>
  <r>
    <x v="3"/>
    <x v="3"/>
    <x v="2"/>
    <x v="3"/>
    <n v="2156"/>
    <n v="10"/>
    <n v="125"/>
    <n v="269500"/>
    <n v="32340"/>
    <n v="237160"/>
    <n v="258720"/>
    <n v="-21560"/>
    <x v="10"/>
    <n v="10"/>
    <s v="October"/>
    <x v="0"/>
    <n v="-9.0909090909090912E-2"/>
    <n v="0.12"/>
    <s v="Enterprise"/>
    <n v="1.0909090909090908"/>
    <s v="Loss ❌"/>
  </r>
  <r>
    <x v="0"/>
    <x v="3"/>
    <x v="2"/>
    <x v="3"/>
    <n v="905"/>
    <n v="10"/>
    <n v="20"/>
    <n v="18100"/>
    <n v="2172"/>
    <n v="15928"/>
    <n v="9050"/>
    <n v="6878"/>
    <x v="10"/>
    <n v="10"/>
    <s v="October"/>
    <x v="0"/>
    <n v="0.43181818181818182"/>
    <n v="0.12"/>
    <s v="Medium"/>
    <n v="0.56818181818181823"/>
    <s v="Profitable ✅"/>
  </r>
  <r>
    <x v="0"/>
    <x v="3"/>
    <x v="2"/>
    <x v="3"/>
    <n v="1715"/>
    <n v="10"/>
    <n v="20"/>
    <n v="34300"/>
    <n v="4116"/>
    <n v="30184"/>
    <n v="17150"/>
    <n v="13034"/>
    <x v="7"/>
    <n v="10"/>
    <s v="October"/>
    <x v="1"/>
    <n v="0.43181818181818182"/>
    <n v="0.12"/>
    <s v="Medium"/>
    <n v="0.56818181818181823"/>
    <s v="Profitable ✅"/>
  </r>
  <r>
    <x v="0"/>
    <x v="2"/>
    <x v="2"/>
    <x v="3"/>
    <n v="1594"/>
    <n v="10"/>
    <n v="350"/>
    <n v="557900"/>
    <n v="66948"/>
    <n v="490952"/>
    <n v="414440"/>
    <n v="76512"/>
    <x v="15"/>
    <n v="11"/>
    <s v="November"/>
    <x v="0"/>
    <n v="0.15584415584415584"/>
    <n v="0.12"/>
    <s v="Enterprise"/>
    <n v="0.8441558441558441"/>
    <s v="Profitable ✅"/>
  </r>
  <r>
    <x v="4"/>
    <x v="1"/>
    <x v="2"/>
    <x v="3"/>
    <n v="1359"/>
    <n v="10"/>
    <n v="300"/>
    <n v="407700"/>
    <n v="48924"/>
    <n v="358776"/>
    <n v="339750"/>
    <n v="19026"/>
    <x v="15"/>
    <n v="11"/>
    <s v="November"/>
    <x v="0"/>
    <n v="5.3030303030303032E-2"/>
    <n v="0.12"/>
    <s v="Enterprise"/>
    <n v="0.94696969696969702"/>
    <s v="Profitable ✅"/>
  </r>
  <r>
    <x v="4"/>
    <x v="3"/>
    <x v="2"/>
    <x v="3"/>
    <n v="2150"/>
    <n v="10"/>
    <n v="300"/>
    <n v="645000"/>
    <n v="77400"/>
    <n v="567600"/>
    <n v="537500"/>
    <n v="30100"/>
    <x v="15"/>
    <n v="11"/>
    <s v="November"/>
    <x v="0"/>
    <n v="5.3030303030303032E-2"/>
    <n v="0.12"/>
    <s v="Enterprise"/>
    <n v="0.94696969696969702"/>
    <s v="Profitable ✅"/>
  </r>
  <r>
    <x v="0"/>
    <x v="3"/>
    <x v="2"/>
    <x v="3"/>
    <n v="1197"/>
    <n v="10"/>
    <n v="350"/>
    <n v="418950"/>
    <n v="50274"/>
    <n v="368676"/>
    <n v="311220"/>
    <n v="57456"/>
    <x v="15"/>
    <n v="11"/>
    <s v="November"/>
    <x v="0"/>
    <n v="0.15584415584415584"/>
    <n v="0.12"/>
    <s v="Enterprise"/>
    <n v="0.8441558441558441"/>
    <s v="Profitable ✅"/>
  </r>
  <r>
    <x v="1"/>
    <x v="3"/>
    <x v="2"/>
    <x v="3"/>
    <n v="380"/>
    <n v="10"/>
    <n v="15"/>
    <n v="5700"/>
    <n v="684"/>
    <n v="5016"/>
    <n v="3800"/>
    <n v="1216"/>
    <x v="12"/>
    <n v="12"/>
    <s v="December"/>
    <x v="1"/>
    <n v="0.24242424242424243"/>
    <n v="0.12"/>
    <s v="Small"/>
    <n v="0.75757575757575757"/>
    <s v="Profitable ✅"/>
  </r>
  <r>
    <x v="0"/>
    <x v="3"/>
    <x v="2"/>
    <x v="3"/>
    <n v="1233"/>
    <n v="10"/>
    <n v="20"/>
    <n v="24660"/>
    <n v="2959.2"/>
    <n v="21700.799999999999"/>
    <n v="12330"/>
    <n v="9370.7999999999993"/>
    <x v="2"/>
    <n v="12"/>
    <s v="December"/>
    <x v="0"/>
    <n v="0.43181818181818182"/>
    <n v="0.12"/>
    <s v="Medium"/>
    <n v="0.56818181818181823"/>
    <s v="Profitable ✅"/>
  </r>
  <r>
    <x v="0"/>
    <x v="3"/>
    <x v="3"/>
    <x v="3"/>
    <n v="1395"/>
    <n v="120"/>
    <n v="350"/>
    <n v="488250"/>
    <n v="58590"/>
    <n v="429660"/>
    <n v="362700"/>
    <n v="66960"/>
    <x v="4"/>
    <n v="7"/>
    <s v="July"/>
    <x v="0"/>
    <n v="0.15584415584415584"/>
    <n v="0.12"/>
    <s v="Enterprise"/>
    <n v="0.8441558441558441"/>
    <s v="Profitable ✅"/>
  </r>
  <r>
    <x v="0"/>
    <x v="4"/>
    <x v="3"/>
    <x v="3"/>
    <n v="986"/>
    <n v="120"/>
    <n v="350"/>
    <n v="345100"/>
    <n v="41412"/>
    <n v="303688"/>
    <n v="256360"/>
    <n v="47328"/>
    <x v="10"/>
    <n v="10"/>
    <s v="October"/>
    <x v="0"/>
    <n v="0.15584415584415584"/>
    <n v="0.12"/>
    <s v="Enterprise"/>
    <n v="0.8441558441558441"/>
    <s v="Profitable ✅"/>
  </r>
  <r>
    <x v="0"/>
    <x v="3"/>
    <x v="3"/>
    <x v="3"/>
    <n v="905"/>
    <n v="120"/>
    <n v="20"/>
    <n v="18100"/>
    <n v="2172"/>
    <n v="15928"/>
    <n v="9050"/>
    <n v="6878"/>
    <x v="10"/>
    <n v="10"/>
    <s v="October"/>
    <x v="0"/>
    <n v="0.43181818181818182"/>
    <n v="0.12"/>
    <s v="Medium"/>
    <n v="0.56818181818181823"/>
    <s v="Profitable ✅"/>
  </r>
  <r>
    <x v="2"/>
    <x v="0"/>
    <x v="4"/>
    <x v="3"/>
    <n v="2109"/>
    <n v="250"/>
    <n v="12"/>
    <n v="25308"/>
    <n v="3036.96"/>
    <n v="22271.040000000001"/>
    <n v="6327"/>
    <n v="15944.04"/>
    <x v="14"/>
    <n v="5"/>
    <s v="May"/>
    <x v="0"/>
    <n v="0.71590909090909094"/>
    <n v="0.12"/>
    <s v="Medium"/>
    <n v="0.28409090909090906"/>
    <s v="Profitable ✅"/>
  </r>
  <r>
    <x v="1"/>
    <x v="2"/>
    <x v="4"/>
    <x v="3"/>
    <n v="3874.5"/>
    <n v="250"/>
    <n v="15"/>
    <n v="58117.5"/>
    <n v="6974.0999999999995"/>
    <n v="51143.399999999994"/>
    <n v="38745"/>
    <n v="12398.399999999998"/>
    <x v="4"/>
    <n v="7"/>
    <s v="July"/>
    <x v="0"/>
    <n v="0.2424242424242424"/>
    <n v="0.12"/>
    <s v="Large"/>
    <n v="0.75757575757575768"/>
    <s v="Profitable ✅"/>
  </r>
  <r>
    <x v="0"/>
    <x v="0"/>
    <x v="4"/>
    <x v="3"/>
    <n v="623"/>
    <n v="250"/>
    <n v="350"/>
    <n v="218050"/>
    <n v="26166"/>
    <n v="191884"/>
    <n v="161980"/>
    <n v="29904"/>
    <x v="9"/>
    <n v="9"/>
    <s v="September"/>
    <x v="1"/>
    <n v="0.15584415584415584"/>
    <n v="0.12"/>
    <s v="Large"/>
    <n v="0.8441558441558441"/>
    <s v="Profitable ✅"/>
  </r>
  <r>
    <x v="0"/>
    <x v="4"/>
    <x v="4"/>
    <x v="3"/>
    <n v="986"/>
    <n v="250"/>
    <n v="350"/>
    <n v="345100"/>
    <n v="41412"/>
    <n v="303688"/>
    <n v="256360"/>
    <n v="47328"/>
    <x v="10"/>
    <n v="10"/>
    <s v="October"/>
    <x v="0"/>
    <n v="0.15584415584415584"/>
    <n v="0.12"/>
    <s v="Enterprise"/>
    <n v="0.8441558441558441"/>
    <s v="Profitable ✅"/>
  </r>
  <r>
    <x v="3"/>
    <x v="4"/>
    <x v="4"/>
    <x v="3"/>
    <n v="2387"/>
    <n v="250"/>
    <n v="125"/>
    <n v="298375"/>
    <n v="35805"/>
    <n v="262570"/>
    <n v="286440"/>
    <n v="-23870"/>
    <x v="15"/>
    <n v="11"/>
    <s v="November"/>
    <x v="0"/>
    <n v="-9.0909090909090912E-2"/>
    <n v="0.12"/>
    <s v="Enterprise"/>
    <n v="1.0909090909090908"/>
    <s v="Loss ❌"/>
  </r>
  <r>
    <x v="0"/>
    <x v="3"/>
    <x v="4"/>
    <x v="3"/>
    <n v="1233"/>
    <n v="250"/>
    <n v="20"/>
    <n v="24660"/>
    <n v="2959.2"/>
    <n v="21700.799999999999"/>
    <n v="12330"/>
    <n v="9370.7999999999993"/>
    <x v="2"/>
    <n v="12"/>
    <s v="December"/>
    <x v="0"/>
    <n v="0.43181818181818182"/>
    <n v="0.12"/>
    <s v="Medium"/>
    <n v="0.56818181818181823"/>
    <s v="Profitable ✅"/>
  </r>
  <r>
    <x v="0"/>
    <x v="4"/>
    <x v="5"/>
    <x v="3"/>
    <n v="270"/>
    <n v="260"/>
    <n v="350"/>
    <n v="94500"/>
    <n v="11340"/>
    <n v="83160"/>
    <n v="70200"/>
    <n v="12960"/>
    <x v="8"/>
    <n v="2"/>
    <s v="February"/>
    <x v="0"/>
    <n v="0.15584415584415584"/>
    <n v="0.12"/>
    <s v="Large"/>
    <n v="0.8441558441558441"/>
    <s v="Profitable ✅"/>
  </r>
  <r>
    <x v="0"/>
    <x v="2"/>
    <x v="5"/>
    <x v="3"/>
    <n v="3421.5"/>
    <n v="260"/>
    <n v="7"/>
    <n v="23950.5"/>
    <n v="2874.06"/>
    <n v="21076.44"/>
    <n v="17107.5"/>
    <n v="3968.9399999999987"/>
    <x v="4"/>
    <n v="7"/>
    <s v="July"/>
    <x v="0"/>
    <n v="0.18831168831168826"/>
    <n v="0.12"/>
    <s v="Medium"/>
    <n v="0.81168831168831179"/>
    <s v="Profitable ✅"/>
  </r>
  <r>
    <x v="0"/>
    <x v="0"/>
    <x v="5"/>
    <x v="3"/>
    <n v="2734"/>
    <n v="260"/>
    <n v="7"/>
    <n v="19138"/>
    <n v="2296.56"/>
    <n v="16841.439999999999"/>
    <n v="13670"/>
    <n v="3171.4399999999987"/>
    <x v="10"/>
    <n v="10"/>
    <s v="October"/>
    <x v="0"/>
    <n v="0.18831168831168824"/>
    <n v="0.12"/>
    <s v="Medium"/>
    <n v="0.81168831168831179"/>
    <s v="Profitable ✅"/>
  </r>
  <r>
    <x v="1"/>
    <x v="4"/>
    <x v="5"/>
    <x v="3"/>
    <n v="2548"/>
    <n v="260"/>
    <n v="15"/>
    <n v="38220"/>
    <n v="4586.3999999999996"/>
    <n v="33633.599999999999"/>
    <n v="25480"/>
    <n v="8153.5999999999985"/>
    <x v="11"/>
    <n v="11"/>
    <s v="November"/>
    <x v="1"/>
    <n v="0.2424242424242424"/>
    <n v="0.12"/>
    <s v="Medium"/>
    <n v="0.75757575757575757"/>
    <s v="Profitable ✅"/>
  </r>
  <r>
    <x v="0"/>
    <x v="2"/>
    <x v="0"/>
    <x v="3"/>
    <n v="2521.5"/>
    <n v="3"/>
    <n v="20"/>
    <n v="50430"/>
    <n v="6051.6"/>
    <n v="44378.399999999994"/>
    <n v="25215"/>
    <n v="19163.399999999998"/>
    <x v="0"/>
    <n v="1"/>
    <s v="January"/>
    <x v="0"/>
    <n v="0.43181818181818182"/>
    <n v="0.12000000000000001"/>
    <s v="Medium"/>
    <n v="0.56818181818181823"/>
    <s v="Profitable ✅"/>
  </r>
  <r>
    <x v="2"/>
    <x v="3"/>
    <x v="1"/>
    <x v="3"/>
    <n v="2661"/>
    <n v="5"/>
    <n v="12"/>
    <n v="31932"/>
    <n v="3831.84"/>
    <n v="28100.16"/>
    <n v="7983"/>
    <n v="20117.16"/>
    <x v="14"/>
    <n v="5"/>
    <s v="May"/>
    <x v="0"/>
    <n v="0.71590909090909094"/>
    <n v="0.12000000000000001"/>
    <s v="Medium"/>
    <n v="0.28409090909090912"/>
    <s v="Profitable ✅"/>
  </r>
  <r>
    <x v="0"/>
    <x v="1"/>
    <x v="2"/>
    <x v="3"/>
    <n v="1531"/>
    <n v="10"/>
    <n v="20"/>
    <n v="30620"/>
    <n v="3674.4"/>
    <n v="26945.599999999999"/>
    <n v="15310"/>
    <n v="11635.599999999999"/>
    <x v="2"/>
    <n v="12"/>
    <s v="December"/>
    <x v="0"/>
    <n v="0.43181818181818177"/>
    <n v="0.12000000000000001"/>
    <s v="Medium"/>
    <n v="0.56818181818181823"/>
    <s v="Profitable ✅"/>
  </r>
  <r>
    <x v="0"/>
    <x v="2"/>
    <x v="4"/>
    <x v="3"/>
    <n v="1491"/>
    <n v="250"/>
    <n v="7"/>
    <n v="10437"/>
    <n v="1252.44"/>
    <n v="9184.56"/>
    <n v="7455"/>
    <n v="1729.5599999999995"/>
    <x v="3"/>
    <n v="3"/>
    <s v="March"/>
    <x v="0"/>
    <n v="0.18831168831168826"/>
    <n v="0.12000000000000001"/>
    <s v="Small"/>
    <n v="0.81168831168831168"/>
    <s v="Profitable ✅"/>
  </r>
  <r>
    <x v="0"/>
    <x v="1"/>
    <x v="4"/>
    <x v="3"/>
    <n v="1531"/>
    <n v="250"/>
    <n v="20"/>
    <n v="30620"/>
    <n v="3674.4"/>
    <n v="26945.599999999999"/>
    <n v="15310"/>
    <n v="11635.599999999999"/>
    <x v="2"/>
    <n v="12"/>
    <s v="December"/>
    <x v="0"/>
    <n v="0.43181818181818177"/>
    <n v="0.12000000000000001"/>
    <s v="Medium"/>
    <n v="0.56818181818181823"/>
    <s v="Profitable ✅"/>
  </r>
  <r>
    <x v="2"/>
    <x v="0"/>
    <x v="5"/>
    <x v="3"/>
    <n v="2761"/>
    <n v="260"/>
    <n v="12"/>
    <n v="33132"/>
    <n v="3975.84"/>
    <n v="29156.16"/>
    <n v="8283"/>
    <n v="20873.16"/>
    <x v="9"/>
    <n v="9"/>
    <s v="September"/>
    <x v="1"/>
    <n v="0.71590909090909094"/>
    <n v="0.12000000000000001"/>
    <s v="Medium"/>
    <n v="0.28409090909090912"/>
    <s v="Profitable ✅"/>
  </r>
  <r>
    <x v="1"/>
    <x v="4"/>
    <x v="0"/>
    <x v="3"/>
    <n v="2567"/>
    <n v="3"/>
    <n v="15"/>
    <n v="38505"/>
    <n v="5005.6499999999996"/>
    <n v="33499.35"/>
    <n v="25670"/>
    <n v="7829.3499999999985"/>
    <x v="1"/>
    <n v="6"/>
    <s v="June"/>
    <x v="0"/>
    <n v="0.23371647509578541"/>
    <n v="0.12999999999999998"/>
    <s v="Medium"/>
    <n v="0.76628352490421459"/>
    <s v="Profitable ✅"/>
  </r>
  <r>
    <x v="1"/>
    <x v="4"/>
    <x v="4"/>
    <x v="3"/>
    <n v="2567"/>
    <n v="250"/>
    <n v="15"/>
    <n v="38505"/>
    <n v="5005.6499999999996"/>
    <n v="33499.35"/>
    <n v="25670"/>
    <n v="7829.3499999999985"/>
    <x v="1"/>
    <n v="6"/>
    <s v="June"/>
    <x v="0"/>
    <n v="0.23371647509578541"/>
    <n v="0.12999999999999998"/>
    <s v="Medium"/>
    <n v="0.76628352490421459"/>
    <s v="Profitable ✅"/>
  </r>
  <r>
    <x v="0"/>
    <x v="0"/>
    <x v="0"/>
    <x v="3"/>
    <n v="923"/>
    <n v="3"/>
    <n v="350"/>
    <n v="323050"/>
    <n v="41996.5"/>
    <n v="281053.5"/>
    <n v="239980"/>
    <n v="41073.5"/>
    <x v="3"/>
    <n v="3"/>
    <s v="March"/>
    <x v="0"/>
    <n v="0.14614121510673234"/>
    <n v="0.13"/>
    <s v="Enterprise"/>
    <n v="0.85385878489326761"/>
    <s v="Profitable ✅"/>
  </r>
  <r>
    <x v="0"/>
    <x v="2"/>
    <x v="0"/>
    <x v="3"/>
    <n v="1790"/>
    <n v="3"/>
    <n v="350"/>
    <n v="626500"/>
    <n v="81445"/>
    <n v="545055"/>
    <n v="465400"/>
    <n v="79655"/>
    <x v="3"/>
    <n v="3"/>
    <s v="March"/>
    <x v="0"/>
    <n v="0.14614121510673234"/>
    <n v="0.13"/>
    <s v="Enterprise"/>
    <n v="0.85385878489326761"/>
    <s v="Profitable ✅"/>
  </r>
  <r>
    <x v="0"/>
    <x v="1"/>
    <x v="0"/>
    <x v="3"/>
    <n v="442"/>
    <n v="3"/>
    <n v="20"/>
    <n v="8840"/>
    <n v="1149.2"/>
    <n v="7690.8"/>
    <n v="4420"/>
    <n v="3270.8"/>
    <x v="9"/>
    <n v="9"/>
    <s v="September"/>
    <x v="1"/>
    <n v="0.42528735632183912"/>
    <n v="0.13"/>
    <s v="Small"/>
    <n v="0.57471264367816088"/>
    <s v="Profitable ✅"/>
  </r>
  <r>
    <x v="0"/>
    <x v="4"/>
    <x v="1"/>
    <x v="3"/>
    <n v="982.5"/>
    <n v="5"/>
    <n v="350"/>
    <n v="343875"/>
    <n v="44703.75"/>
    <n v="299171.25"/>
    <n v="255450"/>
    <n v="43721.25"/>
    <x v="0"/>
    <n v="1"/>
    <s v="January"/>
    <x v="0"/>
    <n v="0.14614121510673234"/>
    <n v="0.13"/>
    <s v="Enterprise"/>
    <n v="0.85385878489326761"/>
    <s v="Profitable ✅"/>
  </r>
  <r>
    <x v="0"/>
    <x v="4"/>
    <x v="1"/>
    <x v="3"/>
    <n v="1298"/>
    <n v="5"/>
    <n v="7"/>
    <n v="9086"/>
    <n v="1181.18"/>
    <n v="7904.82"/>
    <n v="6490"/>
    <n v="1414.8199999999997"/>
    <x v="8"/>
    <n v="2"/>
    <s v="February"/>
    <x v="0"/>
    <n v="0.17898193760262723"/>
    <n v="0.13"/>
    <s v="Small"/>
    <n v="0.82101806239737274"/>
    <s v="Profitable ✅"/>
  </r>
  <r>
    <x v="2"/>
    <x v="3"/>
    <x v="1"/>
    <x v="3"/>
    <n v="604"/>
    <n v="5"/>
    <n v="12"/>
    <n v="7248"/>
    <n v="942.24"/>
    <n v="6305.76"/>
    <n v="1812"/>
    <n v="4493.76"/>
    <x v="1"/>
    <n v="6"/>
    <s v="June"/>
    <x v="0"/>
    <n v="0.71264367816091956"/>
    <n v="0.13"/>
    <s v="Small"/>
    <n v="0.28735632183908044"/>
    <s v="Profitable ✅"/>
  </r>
  <r>
    <x v="0"/>
    <x v="3"/>
    <x v="1"/>
    <x v="3"/>
    <n v="2255"/>
    <n v="5"/>
    <n v="20"/>
    <n v="45100"/>
    <n v="5863"/>
    <n v="39237"/>
    <n v="22550"/>
    <n v="16687"/>
    <x v="4"/>
    <n v="7"/>
    <s v="July"/>
    <x v="0"/>
    <n v="0.42528735632183906"/>
    <n v="0.13"/>
    <s v="Medium"/>
    <n v="0.57471264367816088"/>
    <s v="Profitable ✅"/>
  </r>
  <r>
    <x v="0"/>
    <x v="0"/>
    <x v="1"/>
    <x v="3"/>
    <n v="1249"/>
    <n v="5"/>
    <n v="20"/>
    <n v="24980"/>
    <n v="3247.4"/>
    <n v="21732.6"/>
    <n v="12490"/>
    <n v="9242.5999999999985"/>
    <x v="10"/>
    <n v="10"/>
    <s v="October"/>
    <x v="0"/>
    <n v="0.42528735632183906"/>
    <n v="0.13"/>
    <s v="Medium"/>
    <n v="0.57471264367816099"/>
    <s v="Profitable ✅"/>
  </r>
  <r>
    <x v="0"/>
    <x v="4"/>
    <x v="2"/>
    <x v="3"/>
    <n v="1438.5"/>
    <n v="10"/>
    <n v="7"/>
    <n v="10069.5"/>
    <n v="1309.0350000000001"/>
    <n v="8760.4650000000001"/>
    <n v="7192.5"/>
    <n v="1567.9649999999992"/>
    <x v="0"/>
    <n v="1"/>
    <s v="January"/>
    <x v="0"/>
    <n v="0.17898193760262718"/>
    <n v="0.13"/>
    <s v="Small"/>
    <n v="0.82101806239737274"/>
    <s v="Profitable ✅"/>
  </r>
  <r>
    <x v="4"/>
    <x v="1"/>
    <x v="2"/>
    <x v="3"/>
    <n v="807"/>
    <n v="10"/>
    <n v="300"/>
    <n v="242100"/>
    <n v="31473"/>
    <n v="210627"/>
    <n v="201750"/>
    <n v="8877"/>
    <x v="0"/>
    <n v="1"/>
    <s v="January"/>
    <x v="0"/>
    <n v="4.2145593869731802E-2"/>
    <n v="0.13"/>
    <s v="Enterprise"/>
    <n v="0.95785440613026818"/>
    <s v="Profitable ✅"/>
  </r>
  <r>
    <x v="0"/>
    <x v="4"/>
    <x v="2"/>
    <x v="3"/>
    <n v="2641"/>
    <n v="10"/>
    <n v="20"/>
    <n v="52820"/>
    <n v="6866.6"/>
    <n v="45953.4"/>
    <n v="26410"/>
    <n v="19543.400000000001"/>
    <x v="8"/>
    <n v="2"/>
    <s v="February"/>
    <x v="0"/>
    <n v="0.42528735632183912"/>
    <n v="0.13"/>
    <s v="Medium"/>
    <n v="0.57471264367816088"/>
    <s v="Profitable ✅"/>
  </r>
  <r>
    <x v="0"/>
    <x v="1"/>
    <x v="2"/>
    <x v="3"/>
    <n v="2708"/>
    <n v="10"/>
    <n v="20"/>
    <n v="54160"/>
    <n v="7040.8"/>
    <n v="47119.199999999997"/>
    <n v="27080"/>
    <n v="20039.199999999997"/>
    <x v="8"/>
    <n v="2"/>
    <s v="February"/>
    <x v="0"/>
    <n v="0.42528735632183906"/>
    <n v="0.13"/>
    <s v="Medium"/>
    <n v="0.57471264367816099"/>
    <s v="Profitable ✅"/>
  </r>
  <r>
    <x v="0"/>
    <x v="0"/>
    <x v="2"/>
    <x v="3"/>
    <n v="2632"/>
    <n v="10"/>
    <n v="350"/>
    <n v="921200"/>
    <n v="119756"/>
    <n v="801444"/>
    <n v="684320"/>
    <n v="117124"/>
    <x v="1"/>
    <n v="6"/>
    <s v="June"/>
    <x v="0"/>
    <n v="0.14614121510673234"/>
    <n v="0.13"/>
    <s v="Enterprise"/>
    <n v="0.85385878489326761"/>
    <s v="Profitable ✅"/>
  </r>
  <r>
    <x v="3"/>
    <x v="0"/>
    <x v="2"/>
    <x v="3"/>
    <n v="1583"/>
    <n v="10"/>
    <n v="125"/>
    <n v="197875"/>
    <n v="25723.75"/>
    <n v="172151.25"/>
    <n v="189960"/>
    <n v="-17808.75"/>
    <x v="1"/>
    <n v="6"/>
    <s v="June"/>
    <x v="0"/>
    <n v="-0.10344827586206896"/>
    <n v="0.13"/>
    <s v="Large"/>
    <n v="1.103448275862069"/>
    <s v="Loss ❌"/>
  </r>
  <r>
    <x v="2"/>
    <x v="3"/>
    <x v="2"/>
    <x v="3"/>
    <n v="571"/>
    <n v="10"/>
    <n v="12"/>
    <n v="6852"/>
    <n v="890.76"/>
    <n v="5961.24"/>
    <n v="1713"/>
    <n v="4248.24"/>
    <x v="4"/>
    <n v="7"/>
    <s v="July"/>
    <x v="0"/>
    <n v="0.71264367816091956"/>
    <n v="0.13"/>
    <s v="Small"/>
    <n v="0.2873563218390805"/>
    <s v="Profitable ✅"/>
  </r>
  <r>
    <x v="0"/>
    <x v="2"/>
    <x v="2"/>
    <x v="3"/>
    <n v="2696"/>
    <n v="10"/>
    <n v="7"/>
    <n v="18872"/>
    <n v="2453.36"/>
    <n v="16418.64"/>
    <n v="13480"/>
    <n v="2938.6399999999994"/>
    <x v="5"/>
    <n v="8"/>
    <s v="August"/>
    <x v="0"/>
    <n v="0.17898193760262723"/>
    <n v="0.13"/>
    <s v="Medium"/>
    <n v="0.82101806239737274"/>
    <s v="Profitable ✅"/>
  </r>
  <r>
    <x v="1"/>
    <x v="0"/>
    <x v="2"/>
    <x v="3"/>
    <n v="1565"/>
    <n v="10"/>
    <n v="15"/>
    <n v="23475"/>
    <n v="3051.75"/>
    <n v="20423.25"/>
    <n v="15650"/>
    <n v="4773.25"/>
    <x v="10"/>
    <n v="10"/>
    <s v="October"/>
    <x v="0"/>
    <n v="0.23371647509578544"/>
    <n v="0.13"/>
    <s v="Medium"/>
    <n v="0.76628352490421459"/>
    <s v="Profitable ✅"/>
  </r>
  <r>
    <x v="0"/>
    <x v="0"/>
    <x v="2"/>
    <x v="3"/>
    <n v="1249"/>
    <n v="10"/>
    <n v="20"/>
    <n v="24980"/>
    <n v="3247.4"/>
    <n v="21732.6"/>
    <n v="12490"/>
    <n v="9242.5999999999985"/>
    <x v="10"/>
    <n v="10"/>
    <s v="October"/>
    <x v="0"/>
    <n v="0.42528735632183906"/>
    <n v="0.13"/>
    <s v="Medium"/>
    <n v="0.57471264367816099"/>
    <s v="Profitable ✅"/>
  </r>
  <r>
    <x v="0"/>
    <x v="1"/>
    <x v="2"/>
    <x v="3"/>
    <n v="357"/>
    <n v="10"/>
    <n v="350"/>
    <n v="124950"/>
    <n v="16243.5"/>
    <n v="108706.5"/>
    <n v="92820"/>
    <n v="15886.5"/>
    <x v="15"/>
    <n v="11"/>
    <s v="November"/>
    <x v="0"/>
    <n v="0.14614121510673234"/>
    <n v="0.13"/>
    <s v="Large"/>
    <n v="0.85385878489326761"/>
    <s v="Profitable ✅"/>
  </r>
  <r>
    <x v="2"/>
    <x v="1"/>
    <x v="2"/>
    <x v="3"/>
    <n v="1013"/>
    <n v="10"/>
    <n v="12"/>
    <n v="12156"/>
    <n v="1580.28"/>
    <n v="10575.72"/>
    <n v="3039"/>
    <n v="7536.7199999999993"/>
    <x v="2"/>
    <n v="12"/>
    <s v="December"/>
    <x v="0"/>
    <n v="0.71264367816091956"/>
    <n v="0.13"/>
    <s v="Medium"/>
    <n v="0.2873563218390805"/>
    <s v="Profitable ✅"/>
  </r>
  <r>
    <x v="1"/>
    <x v="2"/>
    <x v="3"/>
    <x v="3"/>
    <n v="3997.5"/>
    <n v="120"/>
    <n v="15"/>
    <n v="59962.5"/>
    <n v="7795.125"/>
    <n v="52167.375"/>
    <n v="39975"/>
    <n v="12192.375"/>
    <x v="0"/>
    <n v="1"/>
    <s v="January"/>
    <x v="0"/>
    <n v="0.23371647509578544"/>
    <n v="0.13"/>
    <s v="Large"/>
    <n v="0.76628352490421459"/>
    <s v="Profitable ✅"/>
  </r>
  <r>
    <x v="0"/>
    <x v="0"/>
    <x v="3"/>
    <x v="3"/>
    <n v="2632"/>
    <n v="120"/>
    <n v="350"/>
    <n v="921200"/>
    <n v="119756"/>
    <n v="801444"/>
    <n v="684320"/>
    <n v="117124"/>
    <x v="1"/>
    <n v="6"/>
    <s v="June"/>
    <x v="0"/>
    <n v="0.14614121510673234"/>
    <n v="0.13"/>
    <s v="Enterprise"/>
    <n v="0.85385878489326761"/>
    <s v="Profitable ✅"/>
  </r>
  <r>
    <x v="0"/>
    <x v="2"/>
    <x v="3"/>
    <x v="3"/>
    <n v="1190"/>
    <n v="120"/>
    <n v="7"/>
    <n v="8330"/>
    <n v="1082.9000000000001"/>
    <n v="7247.1"/>
    <n v="5950"/>
    <n v="1297.1000000000004"/>
    <x v="1"/>
    <n v="6"/>
    <s v="June"/>
    <x v="0"/>
    <n v="0.17898193760262729"/>
    <n v="0.13"/>
    <s v="Small"/>
    <n v="0.82101806239737274"/>
    <s v="Profitable ✅"/>
  </r>
  <r>
    <x v="2"/>
    <x v="3"/>
    <x v="3"/>
    <x v="3"/>
    <n v="604"/>
    <n v="120"/>
    <n v="12"/>
    <n v="7248"/>
    <n v="942.24"/>
    <n v="6305.76"/>
    <n v="1812"/>
    <n v="4493.76"/>
    <x v="1"/>
    <n v="6"/>
    <s v="June"/>
    <x v="0"/>
    <n v="0.71264367816091956"/>
    <n v="0.13"/>
    <s v="Small"/>
    <n v="0.28735632183908044"/>
    <s v="Profitable ✅"/>
  </r>
  <r>
    <x v="1"/>
    <x v="1"/>
    <x v="3"/>
    <x v="3"/>
    <n v="660"/>
    <n v="120"/>
    <n v="15"/>
    <n v="9900"/>
    <n v="1287"/>
    <n v="8613"/>
    <n v="6600"/>
    <n v="2013"/>
    <x v="9"/>
    <n v="9"/>
    <s v="September"/>
    <x v="1"/>
    <n v="0.23371647509578544"/>
    <n v="0.13"/>
    <s v="Small"/>
    <n v="0.76628352490421459"/>
    <s v="Profitable ✅"/>
  </r>
  <r>
    <x v="2"/>
    <x v="3"/>
    <x v="3"/>
    <x v="3"/>
    <n v="410"/>
    <n v="120"/>
    <n v="12"/>
    <n v="4920"/>
    <n v="639.6"/>
    <n v="4280.3999999999996"/>
    <n v="1230"/>
    <n v="3050.3999999999996"/>
    <x v="10"/>
    <n v="10"/>
    <s v="October"/>
    <x v="0"/>
    <n v="0.71264367816091956"/>
    <n v="0.13"/>
    <s v="Small"/>
    <n v="0.2873563218390805"/>
    <s v="Profitable ✅"/>
  </r>
  <r>
    <x v="4"/>
    <x v="3"/>
    <x v="3"/>
    <x v="3"/>
    <n v="2605"/>
    <n v="120"/>
    <n v="300"/>
    <n v="781500"/>
    <n v="101595"/>
    <n v="679905"/>
    <n v="651250"/>
    <n v="28655"/>
    <x v="11"/>
    <n v="11"/>
    <s v="November"/>
    <x v="1"/>
    <n v="4.2145593869731802E-2"/>
    <n v="0.13"/>
    <s v="Enterprise"/>
    <n v="0.95785440613026818"/>
    <s v="Profitable ✅"/>
  </r>
  <r>
    <x v="2"/>
    <x v="1"/>
    <x v="3"/>
    <x v="3"/>
    <n v="1013"/>
    <n v="120"/>
    <n v="12"/>
    <n v="12156"/>
    <n v="1580.28"/>
    <n v="10575.72"/>
    <n v="3039"/>
    <n v="7536.7199999999993"/>
    <x v="2"/>
    <n v="12"/>
    <s v="December"/>
    <x v="0"/>
    <n v="0.71264367816091956"/>
    <n v="0.13"/>
    <s v="Medium"/>
    <n v="0.2873563218390805"/>
    <s v="Profitable ✅"/>
  </r>
  <r>
    <x v="3"/>
    <x v="0"/>
    <x v="4"/>
    <x v="3"/>
    <n v="1583"/>
    <n v="250"/>
    <n v="125"/>
    <n v="197875"/>
    <n v="25723.75"/>
    <n v="172151.25"/>
    <n v="189960"/>
    <n v="-17808.75"/>
    <x v="1"/>
    <n v="6"/>
    <s v="June"/>
    <x v="0"/>
    <n v="-0.10344827586206896"/>
    <n v="0.13"/>
    <s v="Large"/>
    <n v="1.103448275862069"/>
    <s v="Loss ❌"/>
  </r>
  <r>
    <x v="1"/>
    <x v="0"/>
    <x v="4"/>
    <x v="3"/>
    <n v="1565"/>
    <n v="250"/>
    <n v="15"/>
    <n v="23475"/>
    <n v="3051.75"/>
    <n v="20423.25"/>
    <n v="15650"/>
    <n v="4773.25"/>
    <x v="10"/>
    <n v="10"/>
    <s v="October"/>
    <x v="0"/>
    <n v="0.23371647509578544"/>
    <n v="0.13"/>
    <s v="Medium"/>
    <n v="0.76628352490421459"/>
    <s v="Profitable ✅"/>
  </r>
  <r>
    <x v="3"/>
    <x v="0"/>
    <x v="5"/>
    <x v="3"/>
    <n v="1659"/>
    <n v="260"/>
    <n v="125"/>
    <n v="207375"/>
    <n v="26958.75"/>
    <n v="180416.25"/>
    <n v="199080"/>
    <n v="-18663.75"/>
    <x v="0"/>
    <n v="1"/>
    <s v="January"/>
    <x v="0"/>
    <n v="-0.10344827586206896"/>
    <n v="0.13"/>
    <s v="Large"/>
    <n v="1.103448275862069"/>
    <s v="Loss ❌"/>
  </r>
  <r>
    <x v="0"/>
    <x v="2"/>
    <x v="5"/>
    <x v="3"/>
    <n v="1190"/>
    <n v="260"/>
    <n v="7"/>
    <n v="8330"/>
    <n v="1082.9000000000001"/>
    <n v="7247.1"/>
    <n v="5950"/>
    <n v="1297.1000000000004"/>
    <x v="1"/>
    <n v="6"/>
    <s v="June"/>
    <x v="0"/>
    <n v="0.17898193760262729"/>
    <n v="0.13"/>
    <s v="Small"/>
    <n v="0.82101806239737274"/>
    <s v="Profitable ✅"/>
  </r>
  <r>
    <x v="2"/>
    <x v="3"/>
    <x v="5"/>
    <x v="3"/>
    <n v="410"/>
    <n v="260"/>
    <n v="12"/>
    <n v="4920"/>
    <n v="639.6"/>
    <n v="4280.3999999999996"/>
    <n v="1230"/>
    <n v="3050.3999999999996"/>
    <x v="10"/>
    <n v="10"/>
    <s v="October"/>
    <x v="0"/>
    <n v="0.71264367816091956"/>
    <n v="0.13"/>
    <s v="Small"/>
    <n v="0.2873563218390805"/>
    <s v="Profitable ✅"/>
  </r>
  <r>
    <x v="2"/>
    <x v="1"/>
    <x v="5"/>
    <x v="3"/>
    <n v="1770"/>
    <n v="260"/>
    <n v="12"/>
    <n v="21240"/>
    <n v="2761.2"/>
    <n v="18478.8"/>
    <n v="5310"/>
    <n v="13168.8"/>
    <x v="12"/>
    <n v="12"/>
    <s v="December"/>
    <x v="1"/>
    <n v="0.71264367816091956"/>
    <n v="0.13"/>
    <s v="Medium"/>
    <n v="0.2873563218390805"/>
    <s v="Profitable ✅"/>
  </r>
  <r>
    <x v="0"/>
    <x v="3"/>
    <x v="0"/>
    <x v="3"/>
    <n v="2579"/>
    <n v="3"/>
    <n v="20"/>
    <n v="51580"/>
    <n v="7221.2"/>
    <n v="44358.8"/>
    <n v="25790"/>
    <n v="18568.800000000003"/>
    <x v="13"/>
    <n v="4"/>
    <s v="April"/>
    <x v="0"/>
    <n v="0.41860465116279072"/>
    <n v="0.13999999999999999"/>
    <s v="Medium"/>
    <n v="0.58139534883720922"/>
    <s v="Profitable ✅"/>
  </r>
  <r>
    <x v="0"/>
    <x v="4"/>
    <x v="0"/>
    <x v="3"/>
    <n v="1743"/>
    <n v="3"/>
    <n v="20"/>
    <n v="34860"/>
    <n v="4880.3999999999996"/>
    <n v="29979.599999999999"/>
    <n v="17430"/>
    <n v="12549.599999999999"/>
    <x v="14"/>
    <n v="5"/>
    <s v="May"/>
    <x v="0"/>
    <n v="0.41860465116279066"/>
    <n v="0.13999999999999999"/>
    <s v="Medium"/>
    <n v="0.58139534883720934"/>
    <s v="Profitable ✅"/>
  </r>
  <r>
    <x v="0"/>
    <x v="4"/>
    <x v="0"/>
    <x v="3"/>
    <n v="2996"/>
    <n v="3"/>
    <n v="7"/>
    <n v="20972"/>
    <n v="2936.08"/>
    <n v="18035.919999999998"/>
    <n v="14980"/>
    <n v="3055.9199999999983"/>
    <x v="7"/>
    <n v="10"/>
    <s v="October"/>
    <x v="1"/>
    <n v="0.16943521594684377"/>
    <n v="0.13999999999999999"/>
    <s v="Medium"/>
    <n v="0.83056478405315626"/>
    <s v="Profitable ✅"/>
  </r>
  <r>
    <x v="0"/>
    <x v="1"/>
    <x v="0"/>
    <x v="3"/>
    <n v="280"/>
    <n v="3"/>
    <n v="7"/>
    <n v="1960"/>
    <n v="274.39999999999998"/>
    <n v="1685.6"/>
    <n v="1400"/>
    <n v="285.59999999999991"/>
    <x v="2"/>
    <n v="12"/>
    <s v="December"/>
    <x v="0"/>
    <n v="0.1694352159468438"/>
    <n v="0.13999999999999999"/>
    <s v="Small"/>
    <n v="0.83056478405315615"/>
    <s v="Profitable ✅"/>
  </r>
  <r>
    <x v="0"/>
    <x v="2"/>
    <x v="1"/>
    <x v="3"/>
    <n v="293"/>
    <n v="5"/>
    <n v="7"/>
    <n v="2051"/>
    <n v="287.14"/>
    <n v="1763.8600000000001"/>
    <n v="1465"/>
    <n v="298.86000000000013"/>
    <x v="8"/>
    <n v="2"/>
    <s v="February"/>
    <x v="0"/>
    <n v="0.16943521594684391"/>
    <n v="0.13999999999999999"/>
    <s v="Small"/>
    <n v="0.83056478405315604"/>
    <s v="Profitable ✅"/>
  </r>
  <r>
    <x v="0"/>
    <x v="4"/>
    <x v="1"/>
    <x v="3"/>
    <n v="2996"/>
    <n v="5"/>
    <n v="7"/>
    <n v="20972"/>
    <n v="2936.08"/>
    <n v="18035.919999999998"/>
    <n v="14980"/>
    <n v="3055.9199999999983"/>
    <x v="7"/>
    <n v="10"/>
    <s v="October"/>
    <x v="1"/>
    <n v="0.16943521594684377"/>
    <n v="0.13999999999999999"/>
    <s v="Medium"/>
    <n v="0.83056478405315626"/>
    <s v="Profitable ✅"/>
  </r>
  <r>
    <x v="1"/>
    <x v="1"/>
    <x v="2"/>
    <x v="3"/>
    <n v="278"/>
    <n v="10"/>
    <n v="15"/>
    <n v="4170"/>
    <n v="583.79999999999995"/>
    <n v="3586.2"/>
    <n v="2780"/>
    <n v="806.19999999999982"/>
    <x v="8"/>
    <n v="2"/>
    <s v="February"/>
    <x v="0"/>
    <n v="0.22480620155038755"/>
    <n v="0.13999999999999999"/>
    <s v="Small"/>
    <n v="0.77519379844961245"/>
    <s v="Profitable ✅"/>
  </r>
  <r>
    <x v="0"/>
    <x v="0"/>
    <x v="2"/>
    <x v="3"/>
    <n v="2428"/>
    <n v="10"/>
    <n v="20"/>
    <n v="48560"/>
    <n v="6798.4"/>
    <n v="41761.599999999999"/>
    <n v="24280"/>
    <n v="17481.599999999999"/>
    <x v="3"/>
    <n v="3"/>
    <s v="March"/>
    <x v="0"/>
    <n v="0.41860465116279066"/>
    <n v="0.13999999999999999"/>
    <s v="Medium"/>
    <n v="0.58139534883720934"/>
    <s v="Profitable ✅"/>
  </r>
  <r>
    <x v="1"/>
    <x v="4"/>
    <x v="2"/>
    <x v="3"/>
    <n v="1767"/>
    <n v="10"/>
    <n v="15"/>
    <n v="26505"/>
    <n v="3710.7"/>
    <n v="22794.3"/>
    <n v="17670"/>
    <n v="5124.2999999999993"/>
    <x v="6"/>
    <n v="9"/>
    <s v="September"/>
    <x v="0"/>
    <n v="0.22480620155038758"/>
    <n v="0.13999999999999999"/>
    <s v="Medium"/>
    <n v="0.77519379844961245"/>
    <s v="Profitable ✅"/>
  </r>
  <r>
    <x v="2"/>
    <x v="2"/>
    <x v="2"/>
    <x v="3"/>
    <n v="1393"/>
    <n v="10"/>
    <n v="12"/>
    <n v="16716"/>
    <n v="2340.2399999999998"/>
    <n v="14375.76"/>
    <n v="4179"/>
    <n v="10196.76"/>
    <x v="10"/>
    <n v="10"/>
    <s v="October"/>
    <x v="0"/>
    <n v="0.70930232558139539"/>
    <n v="0.13999999999999999"/>
    <s v="Medium"/>
    <n v="0.29069767441860467"/>
    <s v="Profitable ✅"/>
  </r>
  <r>
    <x v="0"/>
    <x v="1"/>
    <x v="4"/>
    <x v="3"/>
    <n v="280"/>
    <n v="250"/>
    <n v="7"/>
    <n v="1960"/>
    <n v="274.39999999999998"/>
    <n v="1685.6"/>
    <n v="1400"/>
    <n v="285.59999999999991"/>
    <x v="2"/>
    <n v="12"/>
    <s v="December"/>
    <x v="0"/>
    <n v="0.1694352159468438"/>
    <n v="0.13999999999999999"/>
    <s v="Small"/>
    <n v="0.83056478405315615"/>
    <s v="Profitable ✅"/>
  </r>
  <r>
    <x v="2"/>
    <x v="2"/>
    <x v="5"/>
    <x v="3"/>
    <n v="1393"/>
    <n v="260"/>
    <n v="12"/>
    <n v="16716"/>
    <n v="2340.2399999999998"/>
    <n v="14375.76"/>
    <n v="4179"/>
    <n v="10196.76"/>
    <x v="10"/>
    <n v="10"/>
    <s v="October"/>
    <x v="0"/>
    <n v="0.70930232558139539"/>
    <n v="0.13999999999999999"/>
    <s v="Medium"/>
    <n v="0.29069767441860467"/>
    <s v="Profitable ✅"/>
  </r>
  <r>
    <x v="2"/>
    <x v="4"/>
    <x v="5"/>
    <x v="3"/>
    <n v="2015"/>
    <n v="260"/>
    <n v="12"/>
    <n v="24180"/>
    <n v="3385.2"/>
    <n v="20794.8"/>
    <n v="6045"/>
    <n v="14749.8"/>
    <x v="12"/>
    <n v="12"/>
    <s v="December"/>
    <x v="1"/>
    <n v="0.70930232558139539"/>
    <n v="0.13999999999999999"/>
    <s v="Medium"/>
    <n v="0.29069767441860467"/>
    <s v="Profitable ✅"/>
  </r>
  <r>
    <x v="4"/>
    <x v="3"/>
    <x v="0"/>
    <x v="3"/>
    <n v="801"/>
    <n v="3"/>
    <n v="300"/>
    <n v="240300"/>
    <n v="33642"/>
    <n v="206658"/>
    <n v="200250"/>
    <n v="6408"/>
    <x v="4"/>
    <n v="7"/>
    <s v="July"/>
    <x v="0"/>
    <n v="3.1007751937984496E-2"/>
    <n v="0.14000000000000001"/>
    <s v="Enterprise"/>
    <n v="0.96899224806201545"/>
    <s v="Profitable ✅"/>
  </r>
  <r>
    <x v="3"/>
    <x v="2"/>
    <x v="0"/>
    <x v="3"/>
    <n v="1023"/>
    <n v="3"/>
    <n v="125"/>
    <n v="127875"/>
    <n v="17902.5"/>
    <n v="109972.5"/>
    <n v="122760"/>
    <n v="-12787.5"/>
    <x v="9"/>
    <n v="9"/>
    <s v="September"/>
    <x v="1"/>
    <n v="-0.11627906976744186"/>
    <n v="0.14000000000000001"/>
    <s v="Large"/>
    <n v="1.1162790697674418"/>
    <s v="Loss ❌"/>
  </r>
  <r>
    <x v="4"/>
    <x v="0"/>
    <x v="0"/>
    <x v="3"/>
    <n v="1496"/>
    <n v="3"/>
    <n v="300"/>
    <n v="448800"/>
    <n v="62832"/>
    <n v="385968"/>
    <n v="374000"/>
    <n v="11968"/>
    <x v="10"/>
    <n v="10"/>
    <s v="October"/>
    <x v="0"/>
    <n v="3.1007751937984496E-2"/>
    <n v="0.14000000000000001"/>
    <s v="Enterprise"/>
    <n v="0.96899224806201545"/>
    <s v="Profitable ✅"/>
  </r>
  <r>
    <x v="4"/>
    <x v="4"/>
    <x v="0"/>
    <x v="3"/>
    <n v="1010"/>
    <n v="3"/>
    <n v="300"/>
    <n v="303000"/>
    <n v="42420"/>
    <n v="260580"/>
    <n v="252500"/>
    <n v="8080"/>
    <x v="10"/>
    <n v="10"/>
    <s v="October"/>
    <x v="0"/>
    <n v="3.1007751937984496E-2"/>
    <n v="0.14000000000000001"/>
    <s v="Enterprise"/>
    <n v="0.96899224806201545"/>
    <s v="Profitable ✅"/>
  </r>
  <r>
    <x v="1"/>
    <x v="1"/>
    <x v="0"/>
    <x v="3"/>
    <n v="1513"/>
    <n v="3"/>
    <n v="15"/>
    <n v="22695"/>
    <n v="3177.3"/>
    <n v="19517.7"/>
    <n v="15130"/>
    <n v="4387.7000000000007"/>
    <x v="15"/>
    <n v="11"/>
    <s v="November"/>
    <x v="0"/>
    <n v="0.22480620155038764"/>
    <n v="0.14000000000000001"/>
    <s v="Medium"/>
    <n v="0.77519379844961234"/>
    <s v="Profitable ✅"/>
  </r>
  <r>
    <x v="1"/>
    <x v="0"/>
    <x v="0"/>
    <x v="3"/>
    <n v="2300"/>
    <n v="3"/>
    <n v="15"/>
    <n v="34500"/>
    <n v="4830"/>
    <n v="29670"/>
    <n v="23000"/>
    <n v="6670"/>
    <x v="2"/>
    <n v="12"/>
    <s v="December"/>
    <x v="0"/>
    <n v="0.22480620155038761"/>
    <n v="0.14000000000000001"/>
    <s v="Medium"/>
    <n v="0.77519379844961245"/>
    <s v="Profitable ✅"/>
  </r>
  <r>
    <x v="3"/>
    <x v="3"/>
    <x v="0"/>
    <x v="3"/>
    <n v="2821"/>
    <n v="3"/>
    <n v="125"/>
    <n v="352625"/>
    <n v="49367.5"/>
    <n v="303257.5"/>
    <n v="338520"/>
    <n v="-35262.5"/>
    <x v="12"/>
    <n v="12"/>
    <s v="December"/>
    <x v="1"/>
    <n v="-0.11627906976744186"/>
    <n v="0.14000000000000001"/>
    <s v="Enterprise"/>
    <n v="1.1162790697674418"/>
    <s v="Loss ❌"/>
  </r>
  <r>
    <x v="0"/>
    <x v="0"/>
    <x v="1"/>
    <x v="3"/>
    <n v="2227.5"/>
    <n v="5"/>
    <n v="350"/>
    <n v="779625"/>
    <n v="109147.5"/>
    <n v="670477.5"/>
    <n v="579150"/>
    <n v="91327.5"/>
    <x v="0"/>
    <n v="1"/>
    <s v="January"/>
    <x v="0"/>
    <n v="0.13621262458471761"/>
    <n v="0.14000000000000001"/>
    <s v="Enterprise"/>
    <n v="0.86378737541528239"/>
    <s v="Profitable ✅"/>
  </r>
  <r>
    <x v="0"/>
    <x v="1"/>
    <x v="1"/>
    <x v="3"/>
    <n v="1199"/>
    <n v="5"/>
    <n v="350"/>
    <n v="419650"/>
    <n v="58751"/>
    <n v="360899"/>
    <n v="311740"/>
    <n v="49159"/>
    <x v="13"/>
    <n v="4"/>
    <s v="April"/>
    <x v="0"/>
    <n v="0.13621262458471761"/>
    <n v="0.14000000000000001"/>
    <s v="Enterprise"/>
    <n v="0.86378737541528239"/>
    <s v="Profitable ✅"/>
  </r>
  <r>
    <x v="0"/>
    <x v="0"/>
    <x v="1"/>
    <x v="3"/>
    <n v="200"/>
    <n v="5"/>
    <n v="350"/>
    <n v="70000"/>
    <n v="9800"/>
    <n v="60200"/>
    <n v="52000"/>
    <n v="8200"/>
    <x v="14"/>
    <n v="5"/>
    <s v="May"/>
    <x v="0"/>
    <n v="0.13621262458471761"/>
    <n v="0.14000000000000001"/>
    <s v="Large"/>
    <n v="0.86378737541528239"/>
    <s v="Profitable ✅"/>
  </r>
  <r>
    <x v="0"/>
    <x v="0"/>
    <x v="1"/>
    <x v="3"/>
    <n v="388"/>
    <n v="5"/>
    <n v="7"/>
    <n v="2716"/>
    <n v="380.24"/>
    <n v="2335.7600000000002"/>
    <n v="1940"/>
    <n v="395.76000000000022"/>
    <x v="6"/>
    <n v="9"/>
    <s v="September"/>
    <x v="0"/>
    <n v="0.16943521594684394"/>
    <n v="0.14000000000000001"/>
    <s v="Small"/>
    <n v="0.83056478405315604"/>
    <s v="Profitable ✅"/>
  </r>
  <r>
    <x v="0"/>
    <x v="3"/>
    <x v="1"/>
    <x v="3"/>
    <n v="1727"/>
    <n v="5"/>
    <n v="7"/>
    <n v="12089"/>
    <n v="1692.46"/>
    <n v="10396.540000000001"/>
    <n v="8635"/>
    <n v="1761.5400000000009"/>
    <x v="7"/>
    <n v="10"/>
    <s v="October"/>
    <x v="1"/>
    <n v="0.16943521594684394"/>
    <n v="0.14000000000000001"/>
    <s v="Medium"/>
    <n v="0.83056478405315604"/>
    <s v="Profitable ✅"/>
  </r>
  <r>
    <x v="1"/>
    <x v="0"/>
    <x v="1"/>
    <x v="3"/>
    <n v="2300"/>
    <n v="5"/>
    <n v="15"/>
    <n v="34500"/>
    <n v="4830"/>
    <n v="29670"/>
    <n v="23000"/>
    <n v="6670"/>
    <x v="2"/>
    <n v="12"/>
    <s v="December"/>
    <x v="0"/>
    <n v="0.22480620155038761"/>
    <n v="0.14000000000000001"/>
    <s v="Medium"/>
    <n v="0.77519379844961245"/>
    <s v="Profitable ✅"/>
  </r>
  <r>
    <x v="0"/>
    <x v="3"/>
    <x v="2"/>
    <x v="3"/>
    <n v="260"/>
    <n v="10"/>
    <n v="20"/>
    <n v="5200"/>
    <n v="728"/>
    <n v="4472"/>
    <n v="2600"/>
    <n v="1872"/>
    <x v="8"/>
    <n v="2"/>
    <s v="February"/>
    <x v="0"/>
    <n v="0.41860465116279072"/>
    <n v="0.14000000000000001"/>
    <s v="Small"/>
    <n v="0.58139534883720934"/>
    <s v="Profitable ✅"/>
  </r>
  <r>
    <x v="1"/>
    <x v="0"/>
    <x v="2"/>
    <x v="3"/>
    <n v="2470"/>
    <n v="10"/>
    <n v="15"/>
    <n v="37050"/>
    <n v="5187"/>
    <n v="31863"/>
    <n v="24700"/>
    <n v="7163"/>
    <x v="9"/>
    <n v="9"/>
    <s v="September"/>
    <x v="1"/>
    <n v="0.22480620155038761"/>
    <n v="0.14000000000000001"/>
    <s v="Medium"/>
    <n v="0.77519379844961245"/>
    <s v="Profitable ✅"/>
  </r>
  <r>
    <x v="1"/>
    <x v="0"/>
    <x v="2"/>
    <x v="3"/>
    <n v="1743"/>
    <n v="10"/>
    <n v="15"/>
    <n v="26145"/>
    <n v="3660.3"/>
    <n v="22484.7"/>
    <n v="17430"/>
    <n v="5054.7000000000007"/>
    <x v="7"/>
    <n v="10"/>
    <s v="October"/>
    <x v="1"/>
    <n v="0.22480620155038764"/>
    <n v="0.14000000000000001"/>
    <s v="Medium"/>
    <n v="0.77519379844961234"/>
    <s v="Profitable ✅"/>
  </r>
  <r>
    <x v="2"/>
    <x v="4"/>
    <x v="2"/>
    <x v="3"/>
    <n v="2914"/>
    <n v="10"/>
    <n v="12"/>
    <n v="34968"/>
    <n v="4895.5200000000004"/>
    <n v="30072.48"/>
    <n v="8742"/>
    <n v="21330.48"/>
    <x v="10"/>
    <n v="10"/>
    <s v="October"/>
    <x v="0"/>
    <n v="0.70930232558139539"/>
    <n v="0.14000000000000001"/>
    <s v="Medium"/>
    <n v="0.29069767441860467"/>
    <s v="Profitable ✅"/>
  </r>
  <r>
    <x v="0"/>
    <x v="2"/>
    <x v="2"/>
    <x v="3"/>
    <n v="1731"/>
    <n v="10"/>
    <n v="7"/>
    <n v="12117"/>
    <n v="1696.38"/>
    <n v="10420.619999999999"/>
    <n v="8655"/>
    <n v="1765.619999999999"/>
    <x v="10"/>
    <n v="10"/>
    <s v="October"/>
    <x v="0"/>
    <n v="0.16943521594684377"/>
    <n v="0.14000000000000001"/>
    <s v="Medium"/>
    <n v="0.83056478405315626"/>
    <s v="Profitable ✅"/>
  </r>
  <r>
    <x v="0"/>
    <x v="0"/>
    <x v="2"/>
    <x v="3"/>
    <n v="700"/>
    <n v="10"/>
    <n v="350"/>
    <n v="245000"/>
    <n v="34300"/>
    <n v="210700"/>
    <n v="182000"/>
    <n v="28700"/>
    <x v="15"/>
    <n v="11"/>
    <s v="November"/>
    <x v="0"/>
    <n v="0.13621262458471761"/>
    <n v="0.14000000000000001"/>
    <s v="Enterprise"/>
    <n v="0.86378737541528239"/>
    <s v="Profitable ✅"/>
  </r>
  <r>
    <x v="2"/>
    <x v="0"/>
    <x v="2"/>
    <x v="3"/>
    <n v="2222"/>
    <n v="10"/>
    <n v="12"/>
    <n v="26664"/>
    <n v="3732.96"/>
    <n v="22931.040000000001"/>
    <n v="6666"/>
    <n v="16265.04"/>
    <x v="11"/>
    <n v="11"/>
    <s v="November"/>
    <x v="1"/>
    <n v="0.70930232558139539"/>
    <n v="0.14000000000000001"/>
    <s v="Medium"/>
    <n v="0.29069767441860461"/>
    <s v="Profitable ✅"/>
  </r>
  <r>
    <x v="0"/>
    <x v="4"/>
    <x v="2"/>
    <x v="3"/>
    <n v="1177"/>
    <n v="10"/>
    <n v="350"/>
    <n v="411950"/>
    <n v="57673"/>
    <n v="354277"/>
    <n v="306020"/>
    <n v="48257"/>
    <x v="15"/>
    <n v="11"/>
    <s v="November"/>
    <x v="0"/>
    <n v="0.13621262458471761"/>
    <n v="0.14000000000000001"/>
    <s v="Enterprise"/>
    <n v="0.86378737541528239"/>
    <s v="Profitable ✅"/>
  </r>
  <r>
    <x v="0"/>
    <x v="2"/>
    <x v="2"/>
    <x v="3"/>
    <n v="1922"/>
    <n v="10"/>
    <n v="350"/>
    <n v="672700"/>
    <n v="94178"/>
    <n v="578522"/>
    <n v="499720"/>
    <n v="78802"/>
    <x v="11"/>
    <n v="11"/>
    <s v="November"/>
    <x v="1"/>
    <n v="0.13621262458471761"/>
    <n v="0.14000000000000001"/>
    <s v="Enterprise"/>
    <n v="0.86378737541528239"/>
    <s v="Profitable ✅"/>
  </r>
  <r>
    <x v="3"/>
    <x v="3"/>
    <x v="3"/>
    <x v="3"/>
    <n v="1575"/>
    <n v="120"/>
    <n v="125"/>
    <n v="196875"/>
    <n v="27562.5"/>
    <n v="169312.5"/>
    <n v="189000"/>
    <n v="-19687.5"/>
    <x v="8"/>
    <n v="2"/>
    <s v="February"/>
    <x v="0"/>
    <n v="-0.11627906976744186"/>
    <n v="0.14000000000000001"/>
    <s v="Large"/>
    <n v="1.1162790697674418"/>
    <s v="Loss ❌"/>
  </r>
  <r>
    <x v="0"/>
    <x v="4"/>
    <x v="3"/>
    <x v="3"/>
    <n v="606"/>
    <n v="120"/>
    <n v="20"/>
    <n v="12120"/>
    <n v="1696.8000000000002"/>
    <n v="10423.200000000001"/>
    <n v="6060"/>
    <n v="4363.2000000000007"/>
    <x v="13"/>
    <n v="4"/>
    <s v="April"/>
    <x v="0"/>
    <n v="0.41860465116279072"/>
    <n v="0.14000000000000001"/>
    <s v="Medium"/>
    <n v="0.58139534883720922"/>
    <s v="Profitable ✅"/>
  </r>
  <r>
    <x v="4"/>
    <x v="4"/>
    <x v="3"/>
    <x v="3"/>
    <n v="2460"/>
    <n v="120"/>
    <n v="300"/>
    <n v="738000"/>
    <n v="103320"/>
    <n v="634680"/>
    <n v="615000"/>
    <n v="19680"/>
    <x v="4"/>
    <n v="7"/>
    <s v="July"/>
    <x v="0"/>
    <n v="3.1007751937984496E-2"/>
    <n v="0.14000000000000001"/>
    <s v="Enterprise"/>
    <n v="0.96899224806201545"/>
    <s v="Profitable ✅"/>
  </r>
  <r>
    <x v="4"/>
    <x v="0"/>
    <x v="3"/>
    <x v="3"/>
    <n v="269"/>
    <n v="120"/>
    <n v="300"/>
    <n v="80700"/>
    <n v="11298"/>
    <n v="69402"/>
    <n v="67250"/>
    <n v="2152"/>
    <x v="7"/>
    <n v="10"/>
    <s v="October"/>
    <x v="1"/>
    <n v="3.1007751937984496E-2"/>
    <n v="0.14000000000000001"/>
    <s v="Large"/>
    <n v="0.96899224806201545"/>
    <s v="Profitable ✅"/>
  </r>
  <r>
    <x v="4"/>
    <x v="1"/>
    <x v="3"/>
    <x v="3"/>
    <n v="2536"/>
    <n v="120"/>
    <n v="300"/>
    <n v="760800"/>
    <n v="106512"/>
    <n v="654288"/>
    <n v="634000"/>
    <n v="20288"/>
    <x v="11"/>
    <n v="11"/>
    <s v="November"/>
    <x v="1"/>
    <n v="3.1007751937984496E-2"/>
    <n v="0.14000000000000001"/>
    <s v="Enterprise"/>
    <n v="0.96899224806201545"/>
    <s v="Profitable ✅"/>
  </r>
  <r>
    <x v="0"/>
    <x v="3"/>
    <x v="4"/>
    <x v="3"/>
    <n v="2903"/>
    <n v="250"/>
    <n v="7"/>
    <n v="20321"/>
    <n v="2844.94"/>
    <n v="17476.060000000001"/>
    <n v="14515"/>
    <n v="2961.0600000000013"/>
    <x v="3"/>
    <n v="3"/>
    <s v="March"/>
    <x v="0"/>
    <n v="0.16943521594684391"/>
    <n v="0.14000000000000001"/>
    <s v="Medium"/>
    <n v="0.83056478405315604"/>
    <s v="Profitable ✅"/>
  </r>
  <r>
    <x v="4"/>
    <x v="4"/>
    <x v="4"/>
    <x v="3"/>
    <n v="2541"/>
    <n v="250"/>
    <n v="300"/>
    <n v="762300"/>
    <n v="106722"/>
    <n v="655578"/>
    <n v="635250"/>
    <n v="20328"/>
    <x v="5"/>
    <n v="8"/>
    <s v="August"/>
    <x v="0"/>
    <n v="3.1007751937984496E-2"/>
    <n v="0.14000000000000001"/>
    <s v="Enterprise"/>
    <n v="0.96899224806201545"/>
    <s v="Profitable ✅"/>
  </r>
  <r>
    <x v="4"/>
    <x v="0"/>
    <x v="4"/>
    <x v="3"/>
    <n v="269"/>
    <n v="250"/>
    <n v="300"/>
    <n v="80700"/>
    <n v="11298"/>
    <n v="69402"/>
    <n v="67250"/>
    <n v="2152"/>
    <x v="7"/>
    <n v="10"/>
    <s v="October"/>
    <x v="1"/>
    <n v="3.1007751937984496E-2"/>
    <n v="0.14000000000000001"/>
    <s v="Large"/>
    <n v="0.96899224806201545"/>
    <s v="Profitable ✅"/>
  </r>
  <r>
    <x v="4"/>
    <x v="0"/>
    <x v="4"/>
    <x v="3"/>
    <n v="1496"/>
    <n v="250"/>
    <n v="300"/>
    <n v="448800"/>
    <n v="62832"/>
    <n v="385968"/>
    <n v="374000"/>
    <n v="11968"/>
    <x v="10"/>
    <n v="10"/>
    <s v="October"/>
    <x v="0"/>
    <n v="3.1007751937984496E-2"/>
    <n v="0.14000000000000001"/>
    <s v="Enterprise"/>
    <n v="0.96899224806201545"/>
    <s v="Profitable ✅"/>
  </r>
  <r>
    <x v="4"/>
    <x v="4"/>
    <x v="4"/>
    <x v="3"/>
    <n v="1010"/>
    <n v="250"/>
    <n v="300"/>
    <n v="303000"/>
    <n v="42420"/>
    <n v="260580"/>
    <n v="252500"/>
    <n v="8080"/>
    <x v="10"/>
    <n v="10"/>
    <s v="October"/>
    <x v="0"/>
    <n v="3.1007751937984496E-2"/>
    <n v="0.14000000000000001"/>
    <s v="Enterprise"/>
    <n v="0.96899224806201545"/>
    <s v="Profitable ✅"/>
  </r>
  <r>
    <x v="0"/>
    <x v="2"/>
    <x v="4"/>
    <x v="3"/>
    <n v="1281"/>
    <n v="250"/>
    <n v="350"/>
    <n v="448350"/>
    <n v="62769"/>
    <n v="385581"/>
    <n v="333060"/>
    <n v="52521"/>
    <x v="12"/>
    <n v="12"/>
    <s v="December"/>
    <x v="1"/>
    <n v="0.13621262458471761"/>
    <n v="0.14000000000000001"/>
    <s v="Enterprise"/>
    <n v="0.86378737541528239"/>
    <s v="Profitable ✅"/>
  </r>
  <r>
    <x v="4"/>
    <x v="0"/>
    <x v="5"/>
    <x v="3"/>
    <n v="888"/>
    <n v="260"/>
    <n v="300"/>
    <n v="266400"/>
    <n v="37296"/>
    <n v="229104"/>
    <n v="222000"/>
    <n v="7104"/>
    <x v="3"/>
    <n v="3"/>
    <s v="March"/>
    <x v="0"/>
    <n v="3.1007751937984496E-2"/>
    <n v="0.14000000000000001"/>
    <s v="Enterprise"/>
    <n v="0.96899224806201545"/>
    <s v="Profitable ✅"/>
  </r>
  <r>
    <x v="3"/>
    <x v="4"/>
    <x v="5"/>
    <x v="3"/>
    <n v="2844"/>
    <n v="260"/>
    <n v="125"/>
    <n v="355500"/>
    <n v="49770"/>
    <n v="305730"/>
    <n v="341280"/>
    <n v="-35550"/>
    <x v="14"/>
    <n v="5"/>
    <s v="May"/>
    <x v="0"/>
    <n v="-0.11627906976744186"/>
    <n v="0.14000000000000001"/>
    <s v="Enterprise"/>
    <n v="1.1162790697674418"/>
    <s v="Loss ❌"/>
  </r>
  <r>
    <x v="2"/>
    <x v="2"/>
    <x v="5"/>
    <x v="3"/>
    <n v="2475"/>
    <n v="260"/>
    <n v="12"/>
    <n v="29700"/>
    <n v="4158"/>
    <n v="25542"/>
    <n v="7425"/>
    <n v="18117"/>
    <x v="5"/>
    <n v="8"/>
    <s v="August"/>
    <x v="0"/>
    <n v="0.70930232558139539"/>
    <n v="0.14000000000000001"/>
    <s v="Medium"/>
    <n v="0.29069767441860467"/>
    <s v="Profitable ✅"/>
  </r>
  <r>
    <x v="1"/>
    <x v="0"/>
    <x v="5"/>
    <x v="3"/>
    <n v="1743"/>
    <n v="260"/>
    <n v="15"/>
    <n v="26145"/>
    <n v="3660.3"/>
    <n v="22484.7"/>
    <n v="17430"/>
    <n v="5054.7000000000007"/>
    <x v="7"/>
    <n v="10"/>
    <s v="October"/>
    <x v="1"/>
    <n v="0.22480620155038764"/>
    <n v="0.14000000000000001"/>
    <s v="Medium"/>
    <n v="0.77519379844961234"/>
    <s v="Profitable ✅"/>
  </r>
  <r>
    <x v="2"/>
    <x v="4"/>
    <x v="5"/>
    <x v="3"/>
    <n v="2914"/>
    <n v="260"/>
    <n v="12"/>
    <n v="34968"/>
    <n v="4895.5200000000004"/>
    <n v="30072.48"/>
    <n v="8742"/>
    <n v="21330.48"/>
    <x v="10"/>
    <n v="10"/>
    <s v="October"/>
    <x v="0"/>
    <n v="0.70930232558139539"/>
    <n v="0.14000000000000001"/>
    <s v="Medium"/>
    <n v="0.29069767441860467"/>
    <s v="Profitable ✅"/>
  </r>
  <r>
    <x v="0"/>
    <x v="2"/>
    <x v="5"/>
    <x v="3"/>
    <n v="1731"/>
    <n v="260"/>
    <n v="7"/>
    <n v="12117"/>
    <n v="1696.38"/>
    <n v="10420.619999999999"/>
    <n v="8655"/>
    <n v="1765.619999999999"/>
    <x v="10"/>
    <n v="10"/>
    <s v="October"/>
    <x v="0"/>
    <n v="0.16943521594684377"/>
    <n v="0.14000000000000001"/>
    <s v="Medium"/>
    <n v="0.83056478405315626"/>
    <s v="Profitable ✅"/>
  </r>
  <r>
    <x v="0"/>
    <x v="3"/>
    <x v="5"/>
    <x v="3"/>
    <n v="1727"/>
    <n v="260"/>
    <n v="7"/>
    <n v="12089"/>
    <n v="1692.46"/>
    <n v="10396.540000000001"/>
    <n v="8635"/>
    <n v="1761.5400000000009"/>
    <x v="7"/>
    <n v="10"/>
    <s v="October"/>
    <x v="1"/>
    <n v="0.16943521594684394"/>
    <n v="0.14000000000000001"/>
    <s v="Medium"/>
    <n v="0.83056478405315604"/>
    <s v="Profitable ✅"/>
  </r>
  <r>
    <x v="1"/>
    <x v="3"/>
    <x v="5"/>
    <x v="3"/>
    <n v="1870"/>
    <n v="260"/>
    <n v="15"/>
    <n v="28050"/>
    <n v="3927"/>
    <n v="24123"/>
    <n v="18700"/>
    <n v="5423"/>
    <x v="11"/>
    <n v="11"/>
    <s v="November"/>
    <x v="1"/>
    <n v="0.22480620155038761"/>
    <n v="0.14000000000000001"/>
    <s v="Medium"/>
    <n v="0.77519379844961245"/>
    <s v="Profitable ✅"/>
  </r>
  <r>
    <x v="3"/>
    <x v="2"/>
    <x v="0"/>
    <x v="3"/>
    <n v="1174"/>
    <n v="3"/>
    <n v="125"/>
    <n v="146750"/>
    <n v="22012.5"/>
    <n v="124737.5"/>
    <n v="140880"/>
    <n v="-16142.5"/>
    <x v="5"/>
    <n v="8"/>
    <s v="August"/>
    <x v="0"/>
    <n v="-0.12941176470588237"/>
    <n v="0.15"/>
    <s v="Large"/>
    <n v="1.1294117647058823"/>
    <s v="Loss ❌"/>
  </r>
  <r>
    <x v="3"/>
    <x v="1"/>
    <x v="0"/>
    <x v="3"/>
    <n v="2767"/>
    <n v="3"/>
    <n v="125"/>
    <n v="345875"/>
    <n v="51881.25"/>
    <n v="293993.75"/>
    <n v="332040"/>
    <n v="-38046.25"/>
    <x v="5"/>
    <n v="8"/>
    <s v="August"/>
    <x v="0"/>
    <n v="-0.12941176470588237"/>
    <n v="0.15"/>
    <s v="Enterprise"/>
    <n v="1.1294117647058823"/>
    <s v="Loss ❌"/>
  </r>
  <r>
    <x v="3"/>
    <x v="1"/>
    <x v="0"/>
    <x v="3"/>
    <n v="1085"/>
    <n v="3"/>
    <n v="125"/>
    <n v="135625"/>
    <n v="20343.75"/>
    <n v="115281.25"/>
    <n v="130200"/>
    <n v="-14918.75"/>
    <x v="10"/>
    <n v="10"/>
    <s v="October"/>
    <x v="0"/>
    <n v="-0.12941176470588237"/>
    <n v="0.15"/>
    <s v="Large"/>
    <n v="1.1294117647058823"/>
    <s v="Loss ❌"/>
  </r>
  <r>
    <x v="4"/>
    <x v="3"/>
    <x v="1"/>
    <x v="3"/>
    <n v="546"/>
    <n v="5"/>
    <n v="300"/>
    <n v="163800"/>
    <n v="24570"/>
    <n v="139230"/>
    <n v="136500"/>
    <n v="2730"/>
    <x v="10"/>
    <n v="10"/>
    <s v="October"/>
    <x v="0"/>
    <n v="1.9607843137254902E-2"/>
    <n v="0.15"/>
    <s v="Large"/>
    <n v="0.98039215686274506"/>
    <s v="Profitable ✅"/>
  </r>
  <r>
    <x v="0"/>
    <x v="1"/>
    <x v="2"/>
    <x v="3"/>
    <n v="1158"/>
    <n v="10"/>
    <n v="20"/>
    <n v="23160"/>
    <n v="3474"/>
    <n v="19686"/>
    <n v="11580"/>
    <n v="8106"/>
    <x v="3"/>
    <n v="3"/>
    <s v="March"/>
    <x v="0"/>
    <n v="0.41176470588235292"/>
    <n v="0.15"/>
    <s v="Medium"/>
    <n v="0.58823529411764708"/>
    <s v="Profitable ✅"/>
  </r>
  <r>
    <x v="1"/>
    <x v="0"/>
    <x v="2"/>
    <x v="3"/>
    <n v="1614"/>
    <n v="10"/>
    <n v="15"/>
    <n v="24210"/>
    <n v="3631.5"/>
    <n v="20578.5"/>
    <n v="16140"/>
    <n v="4438.5"/>
    <x v="13"/>
    <n v="4"/>
    <s v="April"/>
    <x v="0"/>
    <n v="0.21568627450980393"/>
    <n v="0.15"/>
    <s v="Medium"/>
    <n v="0.78431372549019607"/>
    <s v="Profitable ✅"/>
  </r>
  <r>
    <x v="0"/>
    <x v="3"/>
    <x v="2"/>
    <x v="3"/>
    <n v="2535"/>
    <n v="10"/>
    <n v="7"/>
    <n v="17745"/>
    <n v="2661.75"/>
    <n v="15083.25"/>
    <n v="12675"/>
    <n v="2408.25"/>
    <x v="13"/>
    <n v="4"/>
    <s v="April"/>
    <x v="0"/>
    <n v="0.15966386554621848"/>
    <n v="0.15"/>
    <s v="Medium"/>
    <n v="0.84033613445378152"/>
    <s v="Profitable ✅"/>
  </r>
  <r>
    <x v="0"/>
    <x v="3"/>
    <x v="2"/>
    <x v="3"/>
    <n v="2851"/>
    <n v="10"/>
    <n v="350"/>
    <n v="997850"/>
    <n v="149677.5"/>
    <n v="848172.5"/>
    <n v="741260"/>
    <n v="106912.5"/>
    <x v="14"/>
    <n v="5"/>
    <s v="May"/>
    <x v="0"/>
    <n v="0.12605042016806722"/>
    <n v="0.15"/>
    <s v="Enterprise"/>
    <n v="0.87394957983193278"/>
    <s v="Profitable ✅"/>
  </r>
  <r>
    <x v="1"/>
    <x v="0"/>
    <x v="2"/>
    <x v="3"/>
    <n v="2559"/>
    <n v="10"/>
    <n v="15"/>
    <n v="38385"/>
    <n v="5757.75"/>
    <n v="32627.25"/>
    <n v="25590"/>
    <n v="7037.25"/>
    <x v="5"/>
    <n v="8"/>
    <s v="August"/>
    <x v="0"/>
    <n v="0.21568627450980393"/>
    <n v="0.15"/>
    <s v="Medium"/>
    <n v="0.78431372549019607"/>
    <s v="Profitable ✅"/>
  </r>
  <r>
    <x v="0"/>
    <x v="4"/>
    <x v="2"/>
    <x v="3"/>
    <n v="267"/>
    <n v="10"/>
    <n v="20"/>
    <n v="5340"/>
    <n v="801"/>
    <n v="4539"/>
    <n v="2670"/>
    <n v="1869"/>
    <x v="7"/>
    <n v="10"/>
    <s v="October"/>
    <x v="1"/>
    <n v="0.41176470588235292"/>
    <n v="0.15"/>
    <s v="Small"/>
    <n v="0.58823529411764708"/>
    <s v="Profitable ✅"/>
  </r>
  <r>
    <x v="3"/>
    <x v="1"/>
    <x v="2"/>
    <x v="3"/>
    <n v="1085"/>
    <n v="10"/>
    <n v="125"/>
    <n v="135625"/>
    <n v="20343.75"/>
    <n v="115281.25"/>
    <n v="130200"/>
    <n v="-14918.75"/>
    <x v="10"/>
    <n v="10"/>
    <s v="October"/>
    <x v="0"/>
    <n v="-0.12941176470588237"/>
    <n v="0.15"/>
    <s v="Large"/>
    <n v="1.1294117647058823"/>
    <s v="Loss ❌"/>
  </r>
  <r>
    <x v="1"/>
    <x v="1"/>
    <x v="2"/>
    <x v="3"/>
    <n v="1175"/>
    <n v="10"/>
    <n v="15"/>
    <n v="17625"/>
    <n v="2643.75"/>
    <n v="14981.25"/>
    <n v="11750"/>
    <n v="3231.25"/>
    <x v="10"/>
    <n v="10"/>
    <s v="October"/>
    <x v="0"/>
    <n v="0.21568627450980393"/>
    <n v="0.15"/>
    <s v="Medium"/>
    <n v="0.78431372549019607"/>
    <s v="Profitable ✅"/>
  </r>
  <r>
    <x v="0"/>
    <x v="4"/>
    <x v="2"/>
    <x v="3"/>
    <n v="2007"/>
    <n v="10"/>
    <n v="350"/>
    <n v="702450"/>
    <n v="105367.5"/>
    <n v="597082.5"/>
    <n v="521820"/>
    <n v="75262.5"/>
    <x v="11"/>
    <n v="11"/>
    <s v="November"/>
    <x v="1"/>
    <n v="0.12605042016806722"/>
    <n v="0.15"/>
    <s v="Enterprise"/>
    <n v="0.87394957983193278"/>
    <s v="Profitable ✅"/>
  </r>
  <r>
    <x v="0"/>
    <x v="3"/>
    <x v="2"/>
    <x v="3"/>
    <n v="2151"/>
    <n v="10"/>
    <n v="350"/>
    <n v="752850"/>
    <n v="112927.5"/>
    <n v="639922.5"/>
    <n v="559260"/>
    <n v="80662.5"/>
    <x v="11"/>
    <n v="11"/>
    <s v="November"/>
    <x v="1"/>
    <n v="0.12605042016806722"/>
    <n v="0.15"/>
    <s v="Enterprise"/>
    <n v="0.87394957983193278"/>
    <s v="Profitable ✅"/>
  </r>
  <r>
    <x v="2"/>
    <x v="4"/>
    <x v="2"/>
    <x v="3"/>
    <n v="914"/>
    <n v="10"/>
    <n v="12"/>
    <n v="10968"/>
    <n v="1645.2"/>
    <n v="9322.7999999999993"/>
    <n v="2742"/>
    <n v="6580.7999999999993"/>
    <x v="2"/>
    <n v="12"/>
    <s v="December"/>
    <x v="0"/>
    <n v="0.70588235294117641"/>
    <n v="0.15"/>
    <s v="Small"/>
    <n v="0.29411764705882354"/>
    <s v="Profitable ✅"/>
  </r>
  <r>
    <x v="0"/>
    <x v="2"/>
    <x v="2"/>
    <x v="3"/>
    <n v="293"/>
    <n v="10"/>
    <n v="20"/>
    <n v="5860"/>
    <n v="879"/>
    <n v="4981"/>
    <n v="2930"/>
    <n v="2051"/>
    <x v="2"/>
    <n v="12"/>
    <s v="December"/>
    <x v="0"/>
    <n v="0.41176470588235292"/>
    <n v="0.15"/>
    <s v="Small"/>
    <n v="0.58823529411764708"/>
    <s v="Profitable ✅"/>
  </r>
  <r>
    <x v="2"/>
    <x v="3"/>
    <x v="3"/>
    <x v="3"/>
    <n v="500"/>
    <n v="120"/>
    <n v="12"/>
    <n v="6000"/>
    <n v="900"/>
    <n v="5100"/>
    <n v="1500"/>
    <n v="3600"/>
    <x v="3"/>
    <n v="3"/>
    <s v="March"/>
    <x v="0"/>
    <n v="0.70588235294117652"/>
    <n v="0.15"/>
    <s v="Small"/>
    <n v="0.29411764705882354"/>
    <s v="Profitable ✅"/>
  </r>
  <r>
    <x v="1"/>
    <x v="2"/>
    <x v="3"/>
    <x v="3"/>
    <n v="2826"/>
    <n v="120"/>
    <n v="15"/>
    <n v="42390"/>
    <n v="6358.5"/>
    <n v="36031.5"/>
    <n v="28260"/>
    <n v="7771.5"/>
    <x v="14"/>
    <n v="5"/>
    <s v="May"/>
    <x v="0"/>
    <n v="0.21568627450980393"/>
    <n v="0.15"/>
    <s v="Medium"/>
    <n v="0.78431372549019607"/>
    <s v="Profitable ✅"/>
  </r>
  <r>
    <x v="3"/>
    <x v="2"/>
    <x v="3"/>
    <x v="3"/>
    <n v="663"/>
    <n v="120"/>
    <n v="125"/>
    <n v="82875"/>
    <n v="12431.25"/>
    <n v="70443.75"/>
    <n v="79560"/>
    <n v="-9116.25"/>
    <x v="6"/>
    <n v="9"/>
    <s v="September"/>
    <x v="0"/>
    <n v="-0.12941176470588237"/>
    <n v="0.15"/>
    <s v="Large"/>
    <n v="1.1294117647058823"/>
    <s v="Loss ❌"/>
  </r>
  <r>
    <x v="4"/>
    <x v="4"/>
    <x v="3"/>
    <x v="3"/>
    <n v="2574"/>
    <n v="120"/>
    <n v="300"/>
    <n v="772200"/>
    <n v="115830"/>
    <n v="656370"/>
    <n v="643500"/>
    <n v="12870"/>
    <x v="11"/>
    <n v="11"/>
    <s v="November"/>
    <x v="1"/>
    <n v="1.9607843137254902E-2"/>
    <n v="0.15"/>
    <s v="Enterprise"/>
    <n v="0.98039215686274506"/>
    <s v="Profitable ✅"/>
  </r>
  <r>
    <x v="3"/>
    <x v="4"/>
    <x v="3"/>
    <x v="3"/>
    <n v="2438"/>
    <n v="120"/>
    <n v="125"/>
    <n v="304750"/>
    <n v="45712.5"/>
    <n v="259037.5"/>
    <n v="292560"/>
    <n v="-33522.5"/>
    <x v="12"/>
    <n v="12"/>
    <s v="December"/>
    <x v="1"/>
    <n v="-0.12941176470588237"/>
    <n v="0.15"/>
    <s v="Enterprise"/>
    <n v="1.1294117647058823"/>
    <s v="Loss ❌"/>
  </r>
  <r>
    <x v="2"/>
    <x v="4"/>
    <x v="3"/>
    <x v="3"/>
    <n v="914"/>
    <n v="120"/>
    <n v="12"/>
    <n v="10968"/>
    <n v="1645.2"/>
    <n v="9322.7999999999993"/>
    <n v="2742"/>
    <n v="6580.7999999999993"/>
    <x v="2"/>
    <n v="12"/>
    <s v="December"/>
    <x v="0"/>
    <n v="0.70588235294117641"/>
    <n v="0.15"/>
    <s v="Small"/>
    <n v="0.29411764705882354"/>
    <s v="Profitable ✅"/>
  </r>
  <r>
    <x v="0"/>
    <x v="0"/>
    <x v="4"/>
    <x v="3"/>
    <n v="865.5"/>
    <n v="250"/>
    <n v="20"/>
    <n v="17310"/>
    <n v="2596.5"/>
    <n v="14713.5"/>
    <n v="8655"/>
    <n v="6058.5"/>
    <x v="4"/>
    <n v="7"/>
    <s v="July"/>
    <x v="0"/>
    <n v="0.41176470588235292"/>
    <n v="0.15"/>
    <s v="Medium"/>
    <n v="0.58823529411764708"/>
    <s v="Profitable ✅"/>
  </r>
  <r>
    <x v="1"/>
    <x v="1"/>
    <x v="4"/>
    <x v="3"/>
    <n v="492"/>
    <n v="250"/>
    <n v="15"/>
    <n v="7380"/>
    <n v="1107"/>
    <n v="6273"/>
    <n v="4920"/>
    <n v="1353"/>
    <x v="4"/>
    <n v="7"/>
    <s v="July"/>
    <x v="0"/>
    <n v="0.21568627450980393"/>
    <n v="0.15"/>
    <s v="Small"/>
    <n v="0.78431372549019607"/>
    <s v="Profitable ✅"/>
  </r>
  <r>
    <x v="0"/>
    <x v="4"/>
    <x v="4"/>
    <x v="3"/>
    <n v="267"/>
    <n v="250"/>
    <n v="20"/>
    <n v="5340"/>
    <n v="801"/>
    <n v="4539"/>
    <n v="2670"/>
    <n v="1869"/>
    <x v="7"/>
    <n v="10"/>
    <s v="October"/>
    <x v="1"/>
    <n v="0.41176470588235292"/>
    <n v="0.15"/>
    <s v="Small"/>
    <n v="0.58823529411764708"/>
    <s v="Profitable ✅"/>
  </r>
  <r>
    <x v="1"/>
    <x v="1"/>
    <x v="4"/>
    <x v="3"/>
    <n v="1175"/>
    <n v="250"/>
    <n v="15"/>
    <n v="17625"/>
    <n v="2643.75"/>
    <n v="14981.25"/>
    <n v="11750"/>
    <n v="3231.25"/>
    <x v="10"/>
    <n v="10"/>
    <s v="October"/>
    <x v="0"/>
    <n v="0.21568627450980393"/>
    <n v="0.15"/>
    <s v="Medium"/>
    <n v="0.78431372549019607"/>
    <s v="Profitable ✅"/>
  </r>
  <r>
    <x v="3"/>
    <x v="0"/>
    <x v="4"/>
    <x v="3"/>
    <n v="2954"/>
    <n v="250"/>
    <n v="125"/>
    <n v="369250"/>
    <n v="55387.5"/>
    <n v="313862.5"/>
    <n v="354480"/>
    <n v="-40617.5"/>
    <x v="11"/>
    <n v="11"/>
    <s v="November"/>
    <x v="1"/>
    <n v="-0.12941176470588237"/>
    <n v="0.15"/>
    <s v="Enterprise"/>
    <n v="1.1294117647058823"/>
    <s v="Loss ❌"/>
  </r>
  <r>
    <x v="3"/>
    <x v="1"/>
    <x v="4"/>
    <x v="3"/>
    <n v="552"/>
    <n v="250"/>
    <n v="125"/>
    <n v="69000"/>
    <n v="10350"/>
    <n v="58650"/>
    <n v="66240"/>
    <n v="-7590"/>
    <x v="15"/>
    <n v="11"/>
    <s v="November"/>
    <x v="0"/>
    <n v="-0.12941176470588237"/>
    <n v="0.15"/>
    <s v="Large"/>
    <n v="1.1294117647058823"/>
    <s v="Loss ❌"/>
  </r>
  <r>
    <x v="0"/>
    <x v="2"/>
    <x v="4"/>
    <x v="3"/>
    <n v="293"/>
    <n v="250"/>
    <n v="20"/>
    <n v="5860"/>
    <n v="879"/>
    <n v="4981"/>
    <n v="2930"/>
    <n v="2051"/>
    <x v="2"/>
    <n v="12"/>
    <s v="December"/>
    <x v="0"/>
    <n v="0.41176470588235292"/>
    <n v="0.15"/>
    <s v="Small"/>
    <n v="0.58823529411764708"/>
    <s v="Profitable ✅"/>
  </r>
  <r>
    <x v="4"/>
    <x v="2"/>
    <x v="5"/>
    <x v="3"/>
    <n v="2475"/>
    <n v="260"/>
    <n v="300"/>
    <n v="742500"/>
    <n v="111375"/>
    <n v="631125"/>
    <n v="618750"/>
    <n v="12375"/>
    <x v="3"/>
    <n v="3"/>
    <s v="March"/>
    <x v="0"/>
    <n v="1.9607843137254902E-2"/>
    <n v="0.15"/>
    <s v="Enterprise"/>
    <n v="0.98039215686274506"/>
    <s v="Profitable ✅"/>
  </r>
  <r>
    <x v="4"/>
    <x v="3"/>
    <x v="5"/>
    <x v="3"/>
    <n v="546"/>
    <n v="260"/>
    <n v="300"/>
    <n v="163800"/>
    <n v="24570"/>
    <n v="139230"/>
    <n v="136500"/>
    <n v="2730"/>
    <x v="10"/>
    <n v="10"/>
    <s v="October"/>
    <x v="0"/>
    <n v="1.9607843137254902E-2"/>
    <n v="0.15"/>
    <s v="Large"/>
    <n v="0.98039215686274506"/>
    <s v="Profitable ✅"/>
  </r>
  <r>
    <x v="0"/>
    <x v="3"/>
    <x v="1"/>
    <x v="3"/>
    <n v="1368"/>
    <n v="5"/>
    <n v="7"/>
    <n v="9576"/>
    <n v="1436.4"/>
    <n v="8139.6"/>
    <n v="6840"/>
    <n v="1299.6000000000004"/>
    <x v="8"/>
    <n v="2"/>
    <s v="February"/>
    <x v="0"/>
    <n v="0.15966386554621853"/>
    <n v="0.15000000000000002"/>
    <s v="Small"/>
    <n v="0.84033613445378152"/>
    <s v="Profitable ✅"/>
  </r>
  <r>
    <x v="0"/>
    <x v="0"/>
    <x v="2"/>
    <x v="3"/>
    <n v="723"/>
    <n v="10"/>
    <n v="7"/>
    <n v="5061"/>
    <n v="759.15000000000009"/>
    <n v="4301.8500000000004"/>
    <n v="3615"/>
    <n v="686.85000000000014"/>
    <x v="13"/>
    <n v="4"/>
    <s v="April"/>
    <x v="0"/>
    <n v="0.1596638655462185"/>
    <n v="0.15000000000000002"/>
    <s v="Small"/>
    <n v="0.84033613445378141"/>
    <s v="Profitable ✅"/>
  </r>
  <r>
    <x v="2"/>
    <x v="4"/>
    <x v="4"/>
    <x v="3"/>
    <n v="1806"/>
    <n v="250"/>
    <n v="12"/>
    <n v="21672"/>
    <n v="3250.8"/>
    <n v="18421.2"/>
    <n v="5418"/>
    <n v="13003.2"/>
    <x v="14"/>
    <n v="5"/>
    <s v="May"/>
    <x v="0"/>
    <n v="0.70588235294117652"/>
    <n v="0.15000000000000002"/>
    <s v="Medium"/>
    <n v="0.29411764705882354"/>
    <s v="Profitable ✅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75489-C0AB-4A2B-BC5B-F8D31543D2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 colHeaderCaption="Country">
  <location ref="B14:H22" firstHeaderRow="1" firstDataRow="2" firstDataCol="1"/>
  <pivotFields count="21">
    <pivotField showAll="0"/>
    <pivotField axis="axisCol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dataField="1" numFmtId="44" showAll="0"/>
    <pivotField numFmtId="14" showAll="0"/>
    <pivotField numFmtId="1" showAll="0"/>
    <pivotField showAll="0"/>
    <pivotField showAll="0"/>
    <pivotField numFmtId="9" showAll="0"/>
    <pivotField numFmtId="9" showAll="0"/>
    <pivotField showAll="0"/>
    <pivotField numFmtId="9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" fld="11" baseField="0" baseItem="0" numFmtId="5"/>
  </dataFields>
  <formats count="49"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1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2" type="button" dataOnly="0" labelOnly="1" outline="0" axis="axisRow" fieldPosition="0"/>
    </format>
    <format dxfId="57">
      <pivotArea dataOnly="0" labelOnly="1" fieldPosition="0">
        <references count="1">
          <reference field="2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1">
          <reference field="1" count="0"/>
        </references>
      </pivotArea>
    </format>
    <format dxfId="54">
      <pivotArea dataOnly="0" labelOnly="1" grandCol="1" outline="0" fieldPosition="0"/>
    </format>
    <format dxfId="53">
      <pivotArea outline="0" collapsedLevelsAreSubtotals="1" fieldPosition="0"/>
    </format>
    <format dxfId="52">
      <pivotArea type="all" dataOnly="0" outline="0" fieldPosition="0"/>
    </format>
    <format dxfId="51">
      <pivotArea collapsedLevelsAreSubtotals="1" fieldPosition="0">
        <references count="1">
          <reference field="2" count="0"/>
        </references>
      </pivotArea>
    </format>
    <format dxfId="50">
      <pivotArea collapsedLevelsAreSubtotals="1" fieldPosition="0">
        <references count="1">
          <reference field="2" count="0"/>
        </references>
      </pivotArea>
    </format>
    <format dxfId="49">
      <pivotArea dataOnly="0" labelOnly="1" fieldPosition="0">
        <references count="1">
          <reference field="2" count="0"/>
        </references>
      </pivotArea>
    </format>
    <format dxfId="48">
      <pivotArea type="origin" dataOnly="0" labelOnly="1" outline="0" fieldPosition="0"/>
    </format>
    <format dxfId="47">
      <pivotArea field="1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2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Col="1" outline="0" fieldPosition="0"/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dataOnly="0" grandRow="1" fieldPosition="0"/>
    </format>
    <format dxfId="39">
      <pivotArea dataOnly="0" grandRow="1" fieldPosition="0"/>
    </format>
    <format dxfId="38">
      <pivotArea type="origin" dataOnly="0" labelOnly="1" outline="0" fieldPosition="0"/>
    </format>
    <format dxfId="37">
      <pivotArea field="1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2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Col="1" outline="0" fieldPosition="0"/>
    </format>
    <format dxfId="32">
      <pivotArea collapsedLevelsAreSubtotals="1" fieldPosition="0">
        <references count="1">
          <reference field="2" count="1">
            <x v="1"/>
          </reference>
        </references>
      </pivotArea>
    </format>
    <format dxfId="31">
      <pivotArea dataOnly="0" labelOnly="1" fieldPosition="0">
        <references count="1">
          <reference field="2" count="1">
            <x v="1"/>
          </reference>
        </references>
      </pivotArea>
    </format>
    <format dxfId="30">
      <pivotArea collapsedLevelsAreSubtotals="1" fieldPosition="0">
        <references count="1">
          <reference field="2" count="1">
            <x v="3"/>
          </reference>
        </references>
      </pivotArea>
    </format>
    <format dxfId="29">
      <pivotArea dataOnly="0" labelOnly="1" fieldPosition="0">
        <references count="1">
          <reference field="2" count="1">
            <x v="3"/>
          </reference>
        </references>
      </pivotArea>
    </format>
    <format dxfId="28">
      <pivotArea collapsedLevelsAreSubtotals="1" fieldPosition="0">
        <references count="1">
          <reference field="2" count="1">
            <x v="5"/>
          </reference>
        </references>
      </pivotArea>
    </format>
    <format dxfId="27">
      <pivotArea dataOnly="0" labelOnly="1" fieldPosition="0">
        <references count="1">
          <reference field="2" count="1">
            <x v="5"/>
          </reference>
        </references>
      </pivotArea>
    </format>
    <format dxfId="26">
      <pivotArea type="origin" dataOnly="0" labelOnly="1" outline="0" fieldPosition="0"/>
    </format>
    <format dxfId="25">
      <pivotArea field="1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Col="1" outline="0" fieldPosition="0"/>
    </format>
    <format dxfId="20">
      <pivotArea type="origin" dataOnly="0" labelOnly="1" outline="0" fieldPosition="0"/>
    </format>
    <format dxfId="19">
      <pivotArea field="1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9713C-1B87-4148-96CE-1B5B9829C404}" name="PivotTable1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Segment " colHeaderCaption="Year">
  <location ref="B4:E11" firstHeaderRow="1" firstDataRow="2" firstDataCol="1"/>
  <pivotFields count="21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numFmtId="44" showAll="0"/>
    <pivotField numFmtId="44" showAll="0"/>
    <pivotField numFmtId="14" showAll="0"/>
    <pivotField numFmtId="1" showAll="0"/>
    <pivotField showAll="0"/>
    <pivotField axis="axisCol" showAll="0">
      <items count="3">
        <item x="1"/>
        <item x="0"/>
        <item t="default"/>
      </items>
    </pivotField>
    <pivotField numFmtId="9" showAll="0"/>
    <pivotField numFmtId="9" showAll="0"/>
    <pivotField showAll="0"/>
    <pivotField numFmtId="9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Total Sales" fld="9" baseField="0" baseItem="0" numFmtId="5"/>
  </dataFields>
  <formats count="43"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field="15" type="button" dataOnly="0" labelOnly="1" outline="0" axis="axisCol" fieldPosition="0"/>
    </format>
    <format dxfId="102">
      <pivotArea type="topRight" dataOnly="0" labelOnly="1" outline="0" fieldPosition="0"/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15" count="0"/>
        </references>
      </pivotArea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type="origin" dataOnly="0" labelOnly="1" outline="0" fieldPosition="0"/>
    </format>
    <format dxfId="94">
      <pivotArea field="15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0" type="button" dataOnly="0" labelOnly="1" outline="0" axis="axisRow" fieldPosition="0"/>
    </format>
    <format dxfId="91">
      <pivotArea dataOnly="0" labelOnly="1" fieldPosition="0">
        <references count="1">
          <reference field="15" count="0"/>
        </references>
      </pivotArea>
    </format>
    <format dxfId="90">
      <pivotArea dataOnly="0" labelOnly="1" grandCol="1" outline="0" fieldPosition="0"/>
    </format>
    <format dxfId="89">
      <pivotArea dataOnly="0" labelOnly="1" fieldPosition="0">
        <references count="1">
          <reference field="0" count="0"/>
        </references>
      </pivotArea>
    </format>
    <format dxfId="88">
      <pivotArea dataOnly="0" labelOnly="1" fieldPosition="0">
        <references count="1">
          <reference field="0" count="0"/>
        </references>
      </pivotArea>
    </format>
    <format dxfId="87">
      <pivotArea collapsedLevelsAreSubtotals="1" fieldPosition="0">
        <references count="1">
          <reference field="0" count="0"/>
        </references>
      </pivotArea>
    </format>
    <format dxfId="86">
      <pivotArea collapsedLevelsAreSubtotals="1" fieldPosition="0">
        <references count="1">
          <reference field="0" count="0"/>
        </references>
      </pivotArea>
    </format>
    <format dxfId="85">
      <pivotArea grandRow="1" outline="0" collapsedLevelsAreSubtotals="1" fieldPosition="0"/>
    </format>
    <format dxfId="84">
      <pivotArea dataOnly="0" labelOnly="1" grandRow="1" outline="0" fieldPosition="0"/>
    </format>
    <format dxfId="83">
      <pivotArea grandRow="1" outline="0" collapsedLevelsAreSubtotals="1" fieldPosition="0"/>
    </format>
    <format dxfId="82">
      <pivotArea dataOnly="0" labelOnly="1" grandRow="1" outline="0" fieldPosition="0"/>
    </format>
    <format dxfId="81">
      <pivotArea type="origin" dataOnly="0" labelOnly="1" outline="0" fieldPosition="0"/>
    </format>
    <format dxfId="80">
      <pivotArea field="15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15" count="0"/>
        </references>
      </pivotArea>
    </format>
    <format dxfId="76">
      <pivotArea dataOnly="0" labelOnly="1" grandCol="1" outline="0" fieldPosition="0"/>
    </format>
    <format dxfId="75">
      <pivotArea type="origin" dataOnly="0" labelOnly="1" outline="0" fieldPosition="0"/>
    </format>
    <format dxfId="74">
      <pivotArea field="15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15" count="0"/>
        </references>
      </pivotArea>
    </format>
    <format dxfId="70">
      <pivotArea dataOnly="0" labelOnly="1" grandCol="1" outline="0" fieldPosition="0"/>
    </format>
    <format dxfId="69">
      <pivotArea collapsedLevelsAreSubtotals="1" fieldPosition="0">
        <references count="1">
          <reference field="0" count="1">
            <x v="0"/>
          </reference>
        </references>
      </pivotArea>
    </format>
    <format dxfId="68">
      <pivotArea dataOnly="0" labelOnly="1" fieldPosition="0">
        <references count="1">
          <reference field="0" count="1">
            <x v="0"/>
          </reference>
        </references>
      </pivotArea>
    </format>
    <format dxfId="67">
      <pivotArea collapsedLevelsAreSubtotals="1" fieldPosition="0">
        <references count="1">
          <reference field="0" count="1">
            <x v="2"/>
          </reference>
        </references>
      </pivotArea>
    </format>
    <format dxfId="66">
      <pivotArea dataOnly="0" labelOnly="1" fieldPosition="0">
        <references count="1">
          <reference field="0" count="1">
            <x v="2"/>
          </reference>
        </references>
      </pivotArea>
    </format>
    <format dxfId="65">
      <pivotArea collapsedLevelsAreSubtotals="1" fieldPosition="0">
        <references count="1">
          <reference field="0" count="1">
            <x v="4"/>
          </reference>
        </references>
      </pivotArea>
    </format>
    <format dxfId="64">
      <pivotArea dataOnly="0" labelOnly="1" fieldPosition="0">
        <references count="1">
          <reference field="0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7E9AB-83F1-4323-933C-2CD0237C1E12}" name="PivotTable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rowHeaderCaption="Discount">
  <location ref="B34:D39" firstHeaderRow="0" firstDataRow="1" firstDataCol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numFmtId="44" showAll="0"/>
    <pivotField dataField="1" numFmtId="44" showAll="0"/>
    <pivotField numFmtId="1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numFmtId="1" showAll="0"/>
    <pivotField showAll="0"/>
    <pivotField showAll="0"/>
    <pivotField numFmtId="9" showAll="0"/>
    <pivotField numFmtId="9" showAll="0"/>
    <pivotField showAll="0"/>
    <pivotField numFmtId="9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3" baseItem="0" numFmtId="5"/>
    <dataField name="Sum of Profit" fld="11" baseField="3" baseItem="0" numFmtId="5"/>
  </dataFields>
  <formats count="20"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3" type="button" dataOnly="0" labelOnly="1" outline="0" axis="axisRow" fieldPosition="0"/>
    </format>
    <format dxfId="123">
      <pivotArea dataOnly="0" labelOnly="1" fieldPosition="0">
        <references count="1">
          <reference field="3" count="0"/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3" type="button" dataOnly="0" labelOnly="1" outline="0" axis="axisRow" fieldPosition="0"/>
    </format>
    <format dxfId="117">
      <pivotArea dataOnly="0" labelOnly="1" fieldPosition="0">
        <references count="1">
          <reference field="3" count="0"/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4">
      <pivotArea collapsedLevelsAreSubtotals="1" fieldPosition="0">
        <references count="1">
          <reference field="3" count="0"/>
        </references>
      </pivotArea>
    </format>
    <format dxfId="113">
      <pivotArea collapsedLevelsAreSubtotals="1" fieldPosition="0">
        <references count="1">
          <reference field="3" count="0"/>
        </references>
      </pivotArea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3" type="button" dataOnly="0" labelOnly="1" outline="0" axis="axisRow" fieldPosition="0"/>
    </format>
    <format dxfId="109">
      <pivotArea dataOnly="0" labelOnly="1" fieldPosition="0">
        <references count="1">
          <reference field="3" count="0"/>
        </references>
      </pivotArea>
    </format>
    <format dxfId="108">
      <pivotArea dataOnly="0" labelOnly="1" grandRow="1" outline="0" fieldPosition="0"/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3" showRowHeaders="1" showColHeaders="1" showRowStripes="0" showColStripes="0" showLastColumn="1"/>
  <filters count="1">
    <filter fld="12" type="dateBetween" evalOrder="-1" id="70" name="Date">
      <autoFilter ref="A1">
        <filterColumn colId="0">
          <customFilters and="1">
            <customFilter operator="greaterThanOrEqual" val="41275"/>
            <customFilter operator="lessThanOrEqual" val="420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61" dataDxfId="160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59" dataCellStyle="Currency"/>
    <tableColumn id="19" xr3:uid="{00000000-0010-0000-0000-000013000000}" name="Discount Band" dataDxfId="158" dataCellStyle="Currency"/>
    <tableColumn id="6" xr3:uid="{00000000-0010-0000-0000-000006000000}" name="Units Sold"/>
    <tableColumn id="7" xr3:uid="{00000000-0010-0000-0000-000007000000}" name="Manufacturing Price" dataDxfId="157" dataCellStyle="Currency"/>
    <tableColumn id="8" xr3:uid="{00000000-0010-0000-0000-000008000000}" name="Sale Price" dataDxfId="156" dataCellStyle="Currency"/>
    <tableColumn id="9" xr3:uid="{00000000-0010-0000-0000-000009000000}" name="Gross Sales" dataDxfId="155" dataCellStyle="Currency"/>
    <tableColumn id="10" xr3:uid="{00000000-0010-0000-0000-00000A000000}" name="Discounts" dataDxfId="154" dataCellStyle="Currency"/>
    <tableColumn id="11" xr3:uid="{00000000-0010-0000-0000-00000B000000}" name="Sales" dataDxfId="153" dataCellStyle="Currency"/>
    <tableColumn id="12" xr3:uid="{00000000-0010-0000-0000-00000C000000}" name="COGS" dataDxfId="152" dataCellStyle="Currency"/>
    <tableColumn id="13" xr3:uid="{00000000-0010-0000-0000-00000D000000}" name="Profit" dataDxfId="151" dataCellStyle="Currency"/>
    <tableColumn id="4" xr3:uid="{00000000-0010-0000-0000-000004000000}" name="Date" dataDxfId="150" dataCellStyle="Currency"/>
    <tableColumn id="17" xr3:uid="{00000000-0010-0000-0000-000011000000}" name="Month Number" dataDxfId="149" dataCellStyle="Currency"/>
    <tableColumn id="18" xr3:uid="{00000000-0010-0000-0000-000012000000}" name="Month Name" dataDxfId="148" dataCellStyle="Currency"/>
    <tableColumn id="20" xr3:uid="{00000000-0010-0000-0000-000014000000}" name="Year" dataDxfId="147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50DF7-EEDB-4C8D-9C9B-0EFFB0D1CB1D}" name="financials3" displayName="financials3" ref="A1:U701" totalsRowShown="0" headerRowDxfId="146" dataDxfId="145" headerRowCellStyle="Currency" dataCellStyle="Currency">
  <autoFilter ref="A1:U701" xr:uid="{37350DF7-EEDB-4C8D-9C9B-0EFFB0D1CB1D}"/>
  <tableColumns count="21">
    <tableColumn id="1" xr3:uid="{06BCCB0B-5C6F-44B1-8327-BEDD59B280E7}" name="Segment"/>
    <tableColumn id="2" xr3:uid="{80943A36-7930-4ACF-8CD8-050D8865F6D2}" name="Country"/>
    <tableColumn id="16" xr3:uid="{BFB236F7-2933-4C63-9B00-F0673EFC304A}" name="Product" dataDxfId="144" dataCellStyle="Currency"/>
    <tableColumn id="19" xr3:uid="{1DF7DCF5-CD57-4FF1-97D9-C1E0FB23ECA4}" name="Discount Band" dataDxfId="143" dataCellStyle="Currency"/>
    <tableColumn id="6" xr3:uid="{F2D38818-DFAF-4C47-90AC-5F2B5FC07B59}" name="Units Sold"/>
    <tableColumn id="7" xr3:uid="{11214744-DA26-416C-8C90-ECCA1769BE98}" name="Manufacturing Price" dataDxfId="142" dataCellStyle="Currency"/>
    <tableColumn id="8" xr3:uid="{19DDD20D-5BCC-4F4B-9471-00A10D1DA85C}" name="Sale Price" dataDxfId="141" dataCellStyle="Currency"/>
    <tableColumn id="9" xr3:uid="{E186D308-C98A-481F-B769-40BE61849454}" name="Gross Sales" dataDxfId="140" dataCellStyle="Currency"/>
    <tableColumn id="10" xr3:uid="{FB055A79-CF39-4900-B602-0DE56263D841}" name="Discounts" dataDxfId="139" dataCellStyle="Currency"/>
    <tableColumn id="11" xr3:uid="{292BBD07-8F21-4250-917B-CAE883177659}" name="Sales" dataDxfId="138" dataCellStyle="Currency"/>
    <tableColumn id="12" xr3:uid="{1B5B807D-4FB9-477A-B015-CC9950A2E332}" name="COGS" dataDxfId="137" dataCellStyle="Currency"/>
    <tableColumn id="13" xr3:uid="{0A50E538-64B0-48A6-9CE4-2DE011D56A6C}" name="Profit" dataDxfId="136" dataCellStyle="Currency"/>
    <tableColumn id="4" xr3:uid="{5A473C27-956A-4F9E-B2C3-7A60E7D19815}" name="Date" dataDxfId="135" dataCellStyle="Currency"/>
    <tableColumn id="17" xr3:uid="{3DBC33B7-E1D1-4961-BD34-006667409F5E}" name="Month Number" dataDxfId="134" dataCellStyle="Currency"/>
    <tableColumn id="18" xr3:uid="{29F843E8-F4CC-49CD-A6B9-43A755BA3937}" name="Month Name" dataDxfId="133" dataCellStyle="Currency"/>
    <tableColumn id="20" xr3:uid="{E891E6DB-AE9F-4258-8C91-39EDFD66B555}" name="Year" dataDxfId="132" dataCellStyle="Currency"/>
    <tableColumn id="3" xr3:uid="{EA5DEC84-2B9C-4556-859B-A20A0D63C425}" name="Profit_Margin_%" dataDxfId="131" dataCellStyle="Currency">
      <calculatedColumnFormula>IF(J2=0,0,L2/J2)</calculatedColumnFormula>
    </tableColumn>
    <tableColumn id="5" xr3:uid="{0A1B8130-BF04-4872-8D95-684EE52241AB}" name="Discount_Pct" dataDxfId="130" dataCellStyle="Currency">
      <calculatedColumnFormula>IF(H2=0,0, I2/H2)</calculatedColumnFormula>
    </tableColumn>
    <tableColumn id="14" xr3:uid="{98C5F67D-43E7-4B74-946E-F5FA5883F7C1}" name="Sales_Category" dataDxfId="129" dataCellStyle="Currency">
      <calculatedColumnFormula>IF(J2&lt;10000,"Small",IF(J2&lt;50000,"Medium",IF(J2&lt;200000,"Large","Enterprise")))</calculatedColumnFormula>
    </tableColumn>
    <tableColumn id="15" xr3:uid="{E8144086-9455-48D8-9D5E-88C01EE038ED}" name="COGS_Pct" dataDxfId="128" dataCellStyle="Currency">
      <calculatedColumnFormula>IF(J2=0,0,K2/J2)</calculatedColumnFormula>
    </tableColumn>
    <tableColumn id="21" xr3:uid="{32D123E2-1785-4807-859A-47B2BB1B3E94}" name="Profit_Flag" dataDxfId="127" dataCellStyle="Currency">
      <calculatedColumnFormula>IFERROR(IF(L2&gt;0,"Profitable ✅",IF(L2=0,"Breakeven ⚖️","Loss ❌")),"Check Data 📊")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208B54CC-D99F-4C8A-993F-FF7CD1169926}" sourceName="Date">
  <pivotTables>
    <pivotTable tabId="9" name="PivotTable3"/>
  </pivotTables>
  <state minimalRefreshVersion="6" lastRefreshVersion="6" pivotCacheId="873762806" filterType="dateBetween">
    <selection startDate="2013-01-01T00:00:00" endDate="2014-12-31T00:00:00"/>
    <bounds startDate="2013-01-01T00:00:00" endDate="201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6DAADAB-CB56-487A-A959-DF78626CD769}" cache="NativeTimeline_Date" caption="Date" level="2" selectionLevel="0" scrollPosition="2013-01-01T00:00:00" style="TimeSlicerStyleDark3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14999847407452621"/>
  </sheetPr>
  <dimension ref="A1:R701"/>
  <sheetViews>
    <sheetView topLeftCell="E1" zoomScaleNormal="100" workbookViewId="0">
      <pane ySplit="1" topLeftCell="A681" activePane="bottomLeft" state="frozen"/>
      <selection pane="bottomLeft" activeCell="E683" sqref="E683"/>
    </sheetView>
  </sheetViews>
  <sheetFormatPr defaultRowHeight="14.5" x14ac:dyDescent="0.35"/>
  <cols>
    <col min="1" max="1" width="15.1796875" bestFit="1" customWidth="1"/>
    <col min="2" max="2" width="21.54296875" bestFit="1" customWidth="1"/>
    <col min="3" max="3" width="14.1796875" style="3" bestFit="1" customWidth="1"/>
    <col min="4" max="4" width="19.90625" bestFit="1" customWidth="1"/>
    <col min="5" max="5" width="14.81640625" style="1" bestFit="1" customWidth="1"/>
    <col min="6" max="6" width="25" style="1" bestFit="1" customWidth="1"/>
    <col min="7" max="7" width="15.81640625" style="1" bestFit="1" customWidth="1"/>
    <col min="8" max="8" width="17.1796875" style="1" bestFit="1" customWidth="1"/>
    <col min="9" max="9" width="15.90625" style="1" bestFit="1" customWidth="1"/>
    <col min="10" max="10" width="14.6328125" style="1" bestFit="1" customWidth="1"/>
    <col min="11" max="12" width="12.90625" bestFit="1" customWidth="1"/>
    <col min="13" max="13" width="10.36328125" style="4" bestFit="1" customWidth="1"/>
    <col min="14" max="14" width="19.54296875" style="9" bestFit="1" customWidth="1"/>
    <col min="15" max="15" width="18.81640625" bestFit="1" customWidth="1"/>
    <col min="16" max="16" width="10.1796875" style="2" bestFit="1" customWidth="1"/>
    <col min="18" max="18" width="39.08984375" bestFit="1" customWidth="1"/>
  </cols>
  <sheetData>
    <row r="1" spans="1:18" s="17" customFormat="1" ht="20" customHeight="1" x14ac:dyDescent="0.35">
      <c r="A1" s="11" t="s">
        <v>6</v>
      </c>
      <c r="B1" s="11" t="s">
        <v>35</v>
      </c>
      <c r="C1" s="12" t="s">
        <v>36</v>
      </c>
      <c r="D1" s="12" t="s">
        <v>43</v>
      </c>
      <c r="E1" s="11" t="s">
        <v>4</v>
      </c>
      <c r="F1" s="13" t="s">
        <v>5</v>
      </c>
      <c r="G1" s="13" t="s">
        <v>34</v>
      </c>
      <c r="H1" s="13" t="s">
        <v>1</v>
      </c>
      <c r="I1" s="13" t="s">
        <v>2</v>
      </c>
      <c r="J1" s="13" t="s">
        <v>50</v>
      </c>
      <c r="K1" s="13" t="s">
        <v>3</v>
      </c>
      <c r="L1" s="13" t="s">
        <v>33</v>
      </c>
      <c r="M1" s="14" t="s">
        <v>12</v>
      </c>
      <c r="N1" s="15" t="s">
        <v>13</v>
      </c>
      <c r="O1" s="12" t="s">
        <v>48</v>
      </c>
      <c r="P1" s="16" t="s">
        <v>0</v>
      </c>
    </row>
    <row r="2" spans="1:18" x14ac:dyDescent="0.35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  <c r="R2" s="10" t="s">
        <v>49</v>
      </c>
    </row>
    <row r="3" spans="1:18" x14ac:dyDescent="0.35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8" x14ac:dyDescent="0.35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8" x14ac:dyDescent="0.35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8" x14ac:dyDescent="0.35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8" x14ac:dyDescent="0.35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8" x14ac:dyDescent="0.35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8" x14ac:dyDescent="0.35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8" x14ac:dyDescent="0.35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8" x14ac:dyDescent="0.35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8" x14ac:dyDescent="0.35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8" x14ac:dyDescent="0.35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8" x14ac:dyDescent="0.35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8" x14ac:dyDescent="0.35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8" x14ac:dyDescent="0.35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44E7-83BE-4A60-BA21-0F9C42E7CF2E}">
  <sheetPr>
    <tabColor theme="4" tint="-0.499984740745262"/>
  </sheetPr>
  <dimension ref="A1:U701"/>
  <sheetViews>
    <sheetView topLeftCell="E1" workbookViewId="0">
      <selection activeCell="P1" sqref="P1"/>
    </sheetView>
  </sheetViews>
  <sheetFormatPr defaultRowHeight="14.5" x14ac:dyDescent="0.35"/>
  <cols>
    <col min="1" max="1" width="15.1796875" bestFit="1" customWidth="1"/>
    <col min="2" max="2" width="21.54296875" bestFit="1" customWidth="1"/>
    <col min="3" max="3" width="11" bestFit="1" customWidth="1"/>
    <col min="4" max="4" width="16.54296875" bestFit="1" customWidth="1"/>
    <col min="5" max="5" width="11.453125" bestFit="1" customWidth="1"/>
    <col min="6" max="6" width="21.453125" bestFit="1" customWidth="1"/>
    <col min="7" max="7" width="12.26953125" bestFit="1" customWidth="1"/>
    <col min="8" max="8" width="13.7265625" bestFit="1" customWidth="1"/>
    <col min="9" max="9" width="12.54296875" bestFit="1" customWidth="1"/>
    <col min="10" max="10" width="13.6328125" bestFit="1" customWidth="1"/>
    <col min="11" max="12" width="12.08984375" bestFit="1" customWidth="1"/>
    <col min="13" max="13" width="9.453125" bestFit="1" customWidth="1"/>
    <col min="14" max="14" width="16.1796875" bestFit="1" customWidth="1"/>
    <col min="15" max="15" width="15.54296875" bestFit="1" customWidth="1"/>
    <col min="16" max="16" width="6.81640625" bestFit="1" customWidth="1"/>
    <col min="17" max="17" width="18.54296875" bestFit="1" customWidth="1"/>
    <col min="18" max="18" width="15.453125" bestFit="1" customWidth="1"/>
    <col min="19" max="19" width="16.26953125" customWidth="1"/>
    <col min="20" max="20" width="12.1796875" customWidth="1"/>
    <col min="21" max="21" width="15.26953125" customWidth="1"/>
  </cols>
  <sheetData>
    <row r="1" spans="1:21" x14ac:dyDescent="0.35">
      <c r="A1" s="11" t="s">
        <v>6</v>
      </c>
      <c r="B1" s="11" t="s">
        <v>35</v>
      </c>
      <c r="C1" s="12" t="s">
        <v>36</v>
      </c>
      <c r="D1" s="12" t="s">
        <v>43</v>
      </c>
      <c r="E1" s="11" t="s">
        <v>4</v>
      </c>
      <c r="F1" s="13" t="s">
        <v>5</v>
      </c>
      <c r="G1" s="13" t="s">
        <v>34</v>
      </c>
      <c r="H1" s="13" t="s">
        <v>1</v>
      </c>
      <c r="I1" s="13" t="s">
        <v>2</v>
      </c>
      <c r="J1" s="13" t="s">
        <v>50</v>
      </c>
      <c r="K1" s="13" t="s">
        <v>3</v>
      </c>
      <c r="L1" s="13" t="s">
        <v>33</v>
      </c>
      <c r="M1" s="14" t="s">
        <v>12</v>
      </c>
      <c r="N1" s="15" t="s">
        <v>13</v>
      </c>
      <c r="O1" s="12" t="s">
        <v>48</v>
      </c>
      <c r="P1" s="16" t="s">
        <v>0</v>
      </c>
      <c r="Q1" s="19" t="s">
        <v>51</v>
      </c>
      <c r="R1" s="19" t="s">
        <v>52</v>
      </c>
      <c r="S1" s="19" t="s">
        <v>53</v>
      </c>
      <c r="T1" s="19" t="s">
        <v>54</v>
      </c>
      <c r="U1" s="19" t="s">
        <v>55</v>
      </c>
    </row>
    <row r="2" spans="1:21" x14ac:dyDescent="0.35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  <c r="Q2" s="18">
        <f t="shared" ref="Q2:Q65" si="0">IF(J2=0,0,L2/J2)</f>
        <v>0.5</v>
      </c>
      <c r="R2" s="18">
        <f t="shared" ref="R2:R65" si="1">IF(H2=0,0, I2/H2)</f>
        <v>0</v>
      </c>
      <c r="S2" s="1" t="str">
        <f t="shared" ref="S2:S65" si="2">IF(J2&lt;10000,"Small",IF(J2&lt;50000,"Medium",IF(J2&lt;200000,"Large","Enterprise")))</f>
        <v>Medium</v>
      </c>
      <c r="T2" s="18">
        <f t="shared" ref="T2:T65" si="3">IF(J2=0,0,K2/J2)</f>
        <v>0.5</v>
      </c>
      <c r="U2" s="1" t="str">
        <f>IFERROR(IF(L2&gt;0,"Profitable ✅",IF(L2=0,"Breakeven ⚖️","Loss ❌")),"Check Data 📊")</f>
        <v>Profitable ✅</v>
      </c>
    </row>
    <row r="3" spans="1:21" x14ac:dyDescent="0.35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  <c r="Q3" s="18">
        <f t="shared" si="0"/>
        <v>0.5</v>
      </c>
      <c r="R3" s="18">
        <f t="shared" si="1"/>
        <v>0</v>
      </c>
      <c r="S3" s="1" t="str">
        <f t="shared" si="2"/>
        <v>Medium</v>
      </c>
      <c r="T3" s="18">
        <f t="shared" si="3"/>
        <v>0.5</v>
      </c>
      <c r="U3" s="1" t="str">
        <f t="shared" ref="U3:U65" si="4">IFERROR(IF(L3&gt;0,"Profitable ✅",IF(L3=0,"Breakeven ⚖️","Loss ❌")),"Check Data 📊")</f>
        <v>Profitable ✅</v>
      </c>
    </row>
    <row r="4" spans="1:21" x14ac:dyDescent="0.35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  <c r="Q4" s="18">
        <f t="shared" si="0"/>
        <v>0.33333333333333331</v>
      </c>
      <c r="R4" s="18">
        <f t="shared" si="1"/>
        <v>0</v>
      </c>
      <c r="S4" s="1" t="str">
        <f t="shared" si="2"/>
        <v>Medium</v>
      </c>
      <c r="T4" s="18">
        <f t="shared" si="3"/>
        <v>0.66666666666666663</v>
      </c>
      <c r="U4" s="1" t="str">
        <f t="shared" si="4"/>
        <v>Profitable ✅</v>
      </c>
    </row>
    <row r="5" spans="1:21" x14ac:dyDescent="0.35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  <c r="Q5" s="18">
        <f t="shared" si="0"/>
        <v>0.33333333333333331</v>
      </c>
      <c r="R5" s="18">
        <f t="shared" si="1"/>
        <v>0</v>
      </c>
      <c r="S5" s="1" t="str">
        <f t="shared" si="2"/>
        <v>Medium</v>
      </c>
      <c r="T5" s="18">
        <f t="shared" si="3"/>
        <v>0.66666666666666663</v>
      </c>
      <c r="U5" s="1" t="str">
        <f t="shared" si="4"/>
        <v>Profitable ✅</v>
      </c>
    </row>
    <row r="6" spans="1:21" x14ac:dyDescent="0.35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  <c r="Q6" s="18">
        <f t="shared" si="0"/>
        <v>0.33333333333333331</v>
      </c>
      <c r="R6" s="18">
        <f t="shared" si="1"/>
        <v>0</v>
      </c>
      <c r="S6" s="1" t="str">
        <f t="shared" si="2"/>
        <v>Medium</v>
      </c>
      <c r="T6" s="18">
        <f t="shared" si="3"/>
        <v>0.66666666666666663</v>
      </c>
      <c r="U6" s="1" t="str">
        <f t="shared" si="4"/>
        <v>Profitable ✅</v>
      </c>
    </row>
    <row r="7" spans="1:21" x14ac:dyDescent="0.35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  <c r="Q7" s="18">
        <f t="shared" si="0"/>
        <v>0.25714285714285712</v>
      </c>
      <c r="R7" s="18">
        <f t="shared" si="1"/>
        <v>0</v>
      </c>
      <c r="S7" s="1" t="str">
        <f t="shared" si="2"/>
        <v>Enterprise</v>
      </c>
      <c r="T7" s="18">
        <f t="shared" si="3"/>
        <v>0.74285714285714288</v>
      </c>
      <c r="U7" s="1" t="str">
        <f t="shared" si="4"/>
        <v>Profitable ✅</v>
      </c>
    </row>
    <row r="8" spans="1:21" x14ac:dyDescent="0.35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  <c r="Q8" s="18">
        <f t="shared" si="0"/>
        <v>0.33333333333333331</v>
      </c>
      <c r="R8" s="18">
        <f t="shared" si="1"/>
        <v>0</v>
      </c>
      <c r="S8" s="1" t="str">
        <f t="shared" si="2"/>
        <v>Medium</v>
      </c>
      <c r="T8" s="18">
        <f t="shared" si="3"/>
        <v>0.66666666666666663</v>
      </c>
      <c r="U8" s="1" t="str">
        <f t="shared" si="4"/>
        <v>Profitable ✅</v>
      </c>
    </row>
    <row r="9" spans="1:21" x14ac:dyDescent="0.35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  <c r="Q9" s="18">
        <f t="shared" si="0"/>
        <v>0.75</v>
      </c>
      <c r="R9" s="18">
        <f t="shared" si="1"/>
        <v>0</v>
      </c>
      <c r="S9" s="1" t="str">
        <f t="shared" si="2"/>
        <v>Medium</v>
      </c>
      <c r="T9" s="18">
        <f t="shared" si="3"/>
        <v>0.25</v>
      </c>
      <c r="U9" s="1" t="str">
        <f t="shared" si="4"/>
        <v>Profitable ✅</v>
      </c>
    </row>
    <row r="10" spans="1:21" x14ac:dyDescent="0.35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  <c r="Q10" s="18">
        <f t="shared" si="0"/>
        <v>0.5</v>
      </c>
      <c r="R10" s="18">
        <f t="shared" si="1"/>
        <v>0</v>
      </c>
      <c r="S10" s="1" t="str">
        <f t="shared" si="2"/>
        <v>Medium</v>
      </c>
      <c r="T10" s="18">
        <f t="shared" si="3"/>
        <v>0.5</v>
      </c>
      <c r="U10" s="1" t="str">
        <f t="shared" si="4"/>
        <v>Profitable ✅</v>
      </c>
    </row>
    <row r="11" spans="1:21" x14ac:dyDescent="0.35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  <c r="Q11" s="18">
        <f t="shared" si="0"/>
        <v>0.75</v>
      </c>
      <c r="R11" s="18">
        <f t="shared" si="1"/>
        <v>0</v>
      </c>
      <c r="S11" s="1" t="str">
        <f t="shared" si="2"/>
        <v>Medium</v>
      </c>
      <c r="T11" s="18">
        <f t="shared" si="3"/>
        <v>0.25</v>
      </c>
      <c r="U11" s="1" t="str">
        <f t="shared" si="4"/>
        <v>Profitable ✅</v>
      </c>
    </row>
    <row r="12" spans="1:21" x14ac:dyDescent="0.35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  <c r="Q12" s="18">
        <f t="shared" si="0"/>
        <v>0.33333333333333331</v>
      </c>
      <c r="R12" s="18">
        <f t="shared" si="1"/>
        <v>0</v>
      </c>
      <c r="S12" s="1" t="str">
        <f t="shared" si="2"/>
        <v>Medium</v>
      </c>
      <c r="T12" s="18">
        <f t="shared" si="3"/>
        <v>0.66666666666666663</v>
      </c>
      <c r="U12" s="1" t="str">
        <f t="shared" si="4"/>
        <v>Profitable ✅</v>
      </c>
    </row>
    <row r="13" spans="1:21" x14ac:dyDescent="0.35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  <c r="Q13" s="18">
        <f t="shared" si="0"/>
        <v>0.04</v>
      </c>
      <c r="R13" s="18">
        <f t="shared" si="1"/>
        <v>0</v>
      </c>
      <c r="S13" s="1" t="str">
        <f t="shared" si="2"/>
        <v>Enterprise</v>
      </c>
      <c r="T13" s="18">
        <f t="shared" si="3"/>
        <v>0.96</v>
      </c>
      <c r="U13" s="1" t="str">
        <f t="shared" si="4"/>
        <v>Profitable ✅</v>
      </c>
    </row>
    <row r="14" spans="1:21" x14ac:dyDescent="0.35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  <c r="Q14" s="18">
        <f t="shared" si="0"/>
        <v>0.16666666666666666</v>
      </c>
      <c r="R14" s="18">
        <f t="shared" si="1"/>
        <v>0</v>
      </c>
      <c r="S14" s="1" t="str">
        <f t="shared" si="2"/>
        <v>Enterprise</v>
      </c>
      <c r="T14" s="18">
        <f t="shared" si="3"/>
        <v>0.83333333333333337</v>
      </c>
      <c r="U14" s="1" t="str">
        <f t="shared" si="4"/>
        <v>Profitable ✅</v>
      </c>
    </row>
    <row r="15" spans="1:21" x14ac:dyDescent="0.35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  <c r="Q15" s="18">
        <f t="shared" si="0"/>
        <v>0.2857142857142857</v>
      </c>
      <c r="R15" s="18">
        <f t="shared" si="1"/>
        <v>0</v>
      </c>
      <c r="S15" s="1" t="str">
        <f t="shared" si="2"/>
        <v>Medium</v>
      </c>
      <c r="T15" s="18">
        <f t="shared" si="3"/>
        <v>0.7142857142857143</v>
      </c>
      <c r="U15" s="1" t="str">
        <f t="shared" si="4"/>
        <v>Profitable ✅</v>
      </c>
    </row>
    <row r="16" spans="1:21" x14ac:dyDescent="0.35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  <c r="Q16" s="18">
        <f t="shared" si="0"/>
        <v>0.04</v>
      </c>
      <c r="R16" s="18">
        <f t="shared" si="1"/>
        <v>0</v>
      </c>
      <c r="S16" s="1" t="str">
        <f t="shared" si="2"/>
        <v>Medium</v>
      </c>
      <c r="T16" s="18">
        <f t="shared" si="3"/>
        <v>0.96</v>
      </c>
      <c r="U16" s="1" t="str">
        <f t="shared" si="4"/>
        <v>Profitable ✅</v>
      </c>
    </row>
    <row r="17" spans="1:21" x14ac:dyDescent="0.35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  <c r="Q17" s="18">
        <f t="shared" si="0"/>
        <v>0.33333333333333331</v>
      </c>
      <c r="R17" s="18">
        <f t="shared" si="1"/>
        <v>0</v>
      </c>
      <c r="S17" s="1" t="str">
        <f t="shared" si="2"/>
        <v>Small</v>
      </c>
      <c r="T17" s="18">
        <f t="shared" si="3"/>
        <v>0.66666666666666663</v>
      </c>
      <c r="U17" s="1" t="str">
        <f t="shared" si="4"/>
        <v>Profitable ✅</v>
      </c>
    </row>
    <row r="18" spans="1:21" x14ac:dyDescent="0.35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  <c r="Q18" s="18">
        <f t="shared" si="0"/>
        <v>0.5</v>
      </c>
      <c r="R18" s="18">
        <f t="shared" si="1"/>
        <v>0</v>
      </c>
      <c r="S18" s="1" t="str">
        <f t="shared" si="2"/>
        <v>Small</v>
      </c>
      <c r="T18" s="18">
        <f t="shared" si="3"/>
        <v>0.5</v>
      </c>
      <c r="U18" s="1" t="str">
        <f t="shared" si="4"/>
        <v>Profitable ✅</v>
      </c>
    </row>
    <row r="19" spans="1:21" x14ac:dyDescent="0.35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  <c r="Q19" s="18">
        <f t="shared" si="0"/>
        <v>0.33333333333333331</v>
      </c>
      <c r="R19" s="18">
        <f t="shared" si="1"/>
        <v>0</v>
      </c>
      <c r="S19" s="1" t="str">
        <f t="shared" si="2"/>
        <v>Medium</v>
      </c>
      <c r="T19" s="18">
        <f t="shared" si="3"/>
        <v>0.66666666666666663</v>
      </c>
      <c r="U19" s="1" t="str">
        <f t="shared" si="4"/>
        <v>Profitable ✅</v>
      </c>
    </row>
    <row r="20" spans="1:21" x14ac:dyDescent="0.35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  <c r="Q20" s="18">
        <f t="shared" si="0"/>
        <v>0.75</v>
      </c>
      <c r="R20" s="18">
        <f t="shared" si="1"/>
        <v>0</v>
      </c>
      <c r="S20" s="1" t="str">
        <f t="shared" si="2"/>
        <v>Medium</v>
      </c>
      <c r="T20" s="18">
        <f t="shared" si="3"/>
        <v>0.25</v>
      </c>
      <c r="U20" s="1" t="str">
        <f t="shared" si="4"/>
        <v>Profitable ✅</v>
      </c>
    </row>
    <row r="21" spans="1:21" x14ac:dyDescent="0.35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  <c r="Q21" s="18">
        <f t="shared" si="0"/>
        <v>0.25714285714285712</v>
      </c>
      <c r="R21" s="18">
        <f t="shared" si="1"/>
        <v>0</v>
      </c>
      <c r="S21" s="1" t="str">
        <f t="shared" si="2"/>
        <v>Enterprise</v>
      </c>
      <c r="T21" s="18">
        <f t="shared" si="3"/>
        <v>0.74285714285714288</v>
      </c>
      <c r="U21" s="1" t="str">
        <f t="shared" si="4"/>
        <v>Profitable ✅</v>
      </c>
    </row>
    <row r="22" spans="1:21" x14ac:dyDescent="0.35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  <c r="Q22" s="18">
        <f t="shared" si="0"/>
        <v>0.75</v>
      </c>
      <c r="R22" s="18">
        <f t="shared" si="1"/>
        <v>0</v>
      </c>
      <c r="S22" s="1" t="str">
        <f t="shared" si="2"/>
        <v>Small</v>
      </c>
      <c r="T22" s="18">
        <f t="shared" si="3"/>
        <v>0.25</v>
      </c>
      <c r="U22" s="1" t="str">
        <f t="shared" si="4"/>
        <v>Profitable ✅</v>
      </c>
    </row>
    <row r="23" spans="1:21" x14ac:dyDescent="0.35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  <c r="Q23" s="18">
        <f t="shared" si="0"/>
        <v>0.2857142857142857</v>
      </c>
      <c r="R23" s="18">
        <f t="shared" si="1"/>
        <v>0</v>
      </c>
      <c r="S23" s="1" t="str">
        <f t="shared" si="2"/>
        <v>Small</v>
      </c>
      <c r="T23" s="18">
        <f t="shared" si="3"/>
        <v>0.7142857142857143</v>
      </c>
      <c r="U23" s="1" t="str">
        <f t="shared" si="4"/>
        <v>Profitable ✅</v>
      </c>
    </row>
    <row r="24" spans="1:21" x14ac:dyDescent="0.35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  <c r="Q24" s="18">
        <f t="shared" si="0"/>
        <v>0.33333333333333331</v>
      </c>
      <c r="R24" s="18">
        <f t="shared" si="1"/>
        <v>0</v>
      </c>
      <c r="S24" s="1" t="str">
        <f t="shared" si="2"/>
        <v>Small</v>
      </c>
      <c r="T24" s="18">
        <f t="shared" si="3"/>
        <v>0.66666666666666663</v>
      </c>
      <c r="U24" s="1" t="str">
        <f t="shared" si="4"/>
        <v>Profitable ✅</v>
      </c>
    </row>
    <row r="25" spans="1:21" x14ac:dyDescent="0.35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  <c r="Q25" s="18">
        <f t="shared" si="0"/>
        <v>0.16666666666666666</v>
      </c>
      <c r="R25" s="18">
        <f t="shared" si="1"/>
        <v>0</v>
      </c>
      <c r="S25" s="1" t="str">
        <f t="shared" si="2"/>
        <v>Enterprise</v>
      </c>
      <c r="T25" s="18">
        <f t="shared" si="3"/>
        <v>0.83333333333333337</v>
      </c>
      <c r="U25" s="1" t="str">
        <f t="shared" si="4"/>
        <v>Profitable ✅</v>
      </c>
    </row>
    <row r="26" spans="1:21" x14ac:dyDescent="0.35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  <c r="Q26" s="18">
        <f t="shared" si="0"/>
        <v>0.33333333333333331</v>
      </c>
      <c r="R26" s="18">
        <f t="shared" si="1"/>
        <v>0</v>
      </c>
      <c r="S26" s="1" t="str">
        <f t="shared" si="2"/>
        <v>Medium</v>
      </c>
      <c r="T26" s="18">
        <f t="shared" si="3"/>
        <v>0.66666666666666663</v>
      </c>
      <c r="U26" s="1" t="str">
        <f t="shared" si="4"/>
        <v>Profitable ✅</v>
      </c>
    </row>
    <row r="27" spans="1:21" x14ac:dyDescent="0.35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  <c r="Q27" s="18">
        <f t="shared" si="0"/>
        <v>0.2857142857142857</v>
      </c>
      <c r="R27" s="18">
        <f t="shared" si="1"/>
        <v>0</v>
      </c>
      <c r="S27" s="1" t="str">
        <f t="shared" si="2"/>
        <v>Small</v>
      </c>
      <c r="T27" s="18">
        <f t="shared" si="3"/>
        <v>0.7142857142857143</v>
      </c>
      <c r="U27" s="1" t="str">
        <f t="shared" si="4"/>
        <v>Profitable ✅</v>
      </c>
    </row>
    <row r="28" spans="1:21" x14ac:dyDescent="0.35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  <c r="Q28" s="18">
        <f t="shared" si="0"/>
        <v>0.25714285714285712</v>
      </c>
      <c r="R28" s="18">
        <f t="shared" si="1"/>
        <v>0</v>
      </c>
      <c r="S28" s="1" t="str">
        <f t="shared" si="2"/>
        <v>Enterprise</v>
      </c>
      <c r="T28" s="18">
        <f t="shared" si="3"/>
        <v>0.74285714285714288</v>
      </c>
      <c r="U28" s="1" t="str">
        <f t="shared" si="4"/>
        <v>Profitable ✅</v>
      </c>
    </row>
    <row r="29" spans="1:21" x14ac:dyDescent="0.35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  <c r="Q29" s="18">
        <f t="shared" si="0"/>
        <v>0.75</v>
      </c>
      <c r="R29" s="18">
        <f t="shared" si="1"/>
        <v>0</v>
      </c>
      <c r="S29" s="1" t="str">
        <f t="shared" si="2"/>
        <v>Medium</v>
      </c>
      <c r="T29" s="18">
        <f t="shared" si="3"/>
        <v>0.25</v>
      </c>
      <c r="U29" s="1" t="str">
        <f t="shared" si="4"/>
        <v>Profitable ✅</v>
      </c>
    </row>
    <row r="30" spans="1:21" x14ac:dyDescent="0.35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  <c r="Q30" s="18">
        <f t="shared" si="0"/>
        <v>0.33333333333333331</v>
      </c>
      <c r="R30" s="18">
        <f t="shared" si="1"/>
        <v>0</v>
      </c>
      <c r="S30" s="1" t="str">
        <f t="shared" si="2"/>
        <v>Medium</v>
      </c>
      <c r="T30" s="18">
        <f t="shared" si="3"/>
        <v>0.66666666666666663</v>
      </c>
      <c r="U30" s="1" t="str">
        <f t="shared" si="4"/>
        <v>Profitable ✅</v>
      </c>
    </row>
    <row r="31" spans="1:21" x14ac:dyDescent="0.35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  <c r="Q31" s="18">
        <f t="shared" si="0"/>
        <v>0.5</v>
      </c>
      <c r="R31" s="18">
        <f t="shared" si="1"/>
        <v>0</v>
      </c>
      <c r="S31" s="1" t="str">
        <f t="shared" si="2"/>
        <v>Medium</v>
      </c>
      <c r="T31" s="18">
        <f t="shared" si="3"/>
        <v>0.5</v>
      </c>
      <c r="U31" s="1" t="str">
        <f t="shared" si="4"/>
        <v>Profitable ✅</v>
      </c>
    </row>
    <row r="32" spans="1:21" x14ac:dyDescent="0.35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  <c r="Q32" s="18">
        <f t="shared" si="0"/>
        <v>0.25714285714285712</v>
      </c>
      <c r="R32" s="18">
        <f t="shared" si="1"/>
        <v>0</v>
      </c>
      <c r="S32" s="1" t="str">
        <f t="shared" si="2"/>
        <v>Enterprise</v>
      </c>
      <c r="T32" s="18">
        <f t="shared" si="3"/>
        <v>0.74285714285714288</v>
      </c>
      <c r="U32" s="1" t="str">
        <f t="shared" si="4"/>
        <v>Profitable ✅</v>
      </c>
    </row>
    <row r="33" spans="1:21" x14ac:dyDescent="0.35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  <c r="Q33" s="18">
        <f t="shared" si="0"/>
        <v>0.2857142857142857</v>
      </c>
      <c r="R33" s="18">
        <f t="shared" si="1"/>
        <v>0</v>
      </c>
      <c r="S33" s="1" t="str">
        <f t="shared" si="2"/>
        <v>Medium</v>
      </c>
      <c r="T33" s="18">
        <f t="shared" si="3"/>
        <v>0.7142857142857143</v>
      </c>
      <c r="U33" s="1" t="str">
        <f t="shared" si="4"/>
        <v>Profitable ✅</v>
      </c>
    </row>
    <row r="34" spans="1:21" x14ac:dyDescent="0.35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  <c r="Q34" s="18">
        <f t="shared" si="0"/>
        <v>0.04</v>
      </c>
      <c r="R34" s="18">
        <f t="shared" si="1"/>
        <v>0</v>
      </c>
      <c r="S34" s="1" t="str">
        <f t="shared" si="2"/>
        <v>Enterprise</v>
      </c>
      <c r="T34" s="18">
        <f t="shared" si="3"/>
        <v>0.96</v>
      </c>
      <c r="U34" s="1" t="str">
        <f t="shared" si="4"/>
        <v>Profitable ✅</v>
      </c>
    </row>
    <row r="35" spans="1:21" x14ac:dyDescent="0.35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  <c r="Q35" s="18">
        <f t="shared" si="0"/>
        <v>0.75</v>
      </c>
      <c r="R35" s="18">
        <f t="shared" si="1"/>
        <v>0</v>
      </c>
      <c r="S35" s="1" t="str">
        <f t="shared" si="2"/>
        <v>Medium</v>
      </c>
      <c r="T35" s="18">
        <f t="shared" si="3"/>
        <v>0.25</v>
      </c>
      <c r="U35" s="1" t="str">
        <f t="shared" si="4"/>
        <v>Profitable ✅</v>
      </c>
    </row>
    <row r="36" spans="1:21" x14ac:dyDescent="0.35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  <c r="Q36" s="18">
        <f t="shared" si="0"/>
        <v>0.25714285714285712</v>
      </c>
      <c r="R36" s="18">
        <f t="shared" si="1"/>
        <v>0</v>
      </c>
      <c r="S36" s="1" t="str">
        <f t="shared" si="2"/>
        <v>Enterprise</v>
      </c>
      <c r="T36" s="18">
        <f t="shared" si="3"/>
        <v>0.74285714285714288</v>
      </c>
      <c r="U36" s="1" t="str">
        <f t="shared" si="4"/>
        <v>Profitable ✅</v>
      </c>
    </row>
    <row r="37" spans="1:21" x14ac:dyDescent="0.35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  <c r="Q37" s="18">
        <f t="shared" si="0"/>
        <v>0.75</v>
      </c>
      <c r="R37" s="18">
        <f t="shared" si="1"/>
        <v>0</v>
      </c>
      <c r="S37" s="1" t="str">
        <f t="shared" si="2"/>
        <v>Medium</v>
      </c>
      <c r="T37" s="18">
        <f t="shared" si="3"/>
        <v>0.25</v>
      </c>
      <c r="U37" s="1" t="str">
        <f t="shared" si="4"/>
        <v>Profitable ✅</v>
      </c>
    </row>
    <row r="38" spans="1:21" x14ac:dyDescent="0.35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  <c r="Q38" s="18">
        <f t="shared" si="0"/>
        <v>0.04</v>
      </c>
      <c r="R38" s="18">
        <f t="shared" si="1"/>
        <v>0</v>
      </c>
      <c r="S38" s="1" t="str">
        <f t="shared" si="2"/>
        <v>Enterprise</v>
      </c>
      <c r="T38" s="18">
        <f t="shared" si="3"/>
        <v>0.96</v>
      </c>
      <c r="U38" s="1" t="str">
        <f t="shared" si="4"/>
        <v>Profitable ✅</v>
      </c>
    </row>
    <row r="39" spans="1:21" x14ac:dyDescent="0.35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  <c r="Q39" s="18">
        <f t="shared" si="0"/>
        <v>0.04</v>
      </c>
      <c r="R39" s="18">
        <f t="shared" si="1"/>
        <v>0</v>
      </c>
      <c r="S39" s="1" t="str">
        <f t="shared" si="2"/>
        <v>Medium</v>
      </c>
      <c r="T39" s="18">
        <f t="shared" si="3"/>
        <v>0.96</v>
      </c>
      <c r="U39" s="1" t="str">
        <f t="shared" si="4"/>
        <v>Profitable ✅</v>
      </c>
    </row>
    <row r="40" spans="1:21" x14ac:dyDescent="0.35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  <c r="Q40" s="18">
        <f t="shared" si="0"/>
        <v>0.16666666666666666</v>
      </c>
      <c r="R40" s="18">
        <f t="shared" si="1"/>
        <v>0</v>
      </c>
      <c r="S40" s="1" t="str">
        <f t="shared" si="2"/>
        <v>Enterprise</v>
      </c>
      <c r="T40" s="18">
        <f t="shared" si="3"/>
        <v>0.83333333333333337</v>
      </c>
      <c r="U40" s="1" t="str">
        <f t="shared" si="4"/>
        <v>Profitable ✅</v>
      </c>
    </row>
    <row r="41" spans="1:21" x14ac:dyDescent="0.35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  <c r="Q41" s="18">
        <f t="shared" si="0"/>
        <v>0.75</v>
      </c>
      <c r="R41" s="18">
        <f t="shared" si="1"/>
        <v>0</v>
      </c>
      <c r="S41" s="1" t="str">
        <f t="shared" si="2"/>
        <v>Medium</v>
      </c>
      <c r="T41" s="18">
        <f t="shared" si="3"/>
        <v>0.25</v>
      </c>
      <c r="U41" s="1" t="str">
        <f t="shared" si="4"/>
        <v>Profitable ✅</v>
      </c>
    </row>
    <row r="42" spans="1:21" x14ac:dyDescent="0.35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  <c r="Q42" s="18">
        <f t="shared" si="0"/>
        <v>0.33333333333333331</v>
      </c>
      <c r="R42" s="18">
        <f t="shared" si="1"/>
        <v>0</v>
      </c>
      <c r="S42" s="1" t="str">
        <f t="shared" si="2"/>
        <v>Medium</v>
      </c>
      <c r="T42" s="18">
        <f t="shared" si="3"/>
        <v>0.66666666666666663</v>
      </c>
      <c r="U42" s="1" t="str">
        <f t="shared" si="4"/>
        <v>Profitable ✅</v>
      </c>
    </row>
    <row r="43" spans="1:21" x14ac:dyDescent="0.35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  <c r="Q43" s="18">
        <f t="shared" si="0"/>
        <v>0.33333333333333331</v>
      </c>
      <c r="R43" s="18">
        <f t="shared" si="1"/>
        <v>0</v>
      </c>
      <c r="S43" s="1" t="str">
        <f t="shared" si="2"/>
        <v>Medium</v>
      </c>
      <c r="T43" s="18">
        <f t="shared" si="3"/>
        <v>0.66666666666666663</v>
      </c>
      <c r="U43" s="1" t="str">
        <f t="shared" si="4"/>
        <v>Profitable ✅</v>
      </c>
    </row>
    <row r="44" spans="1:21" x14ac:dyDescent="0.35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  <c r="Q44" s="18">
        <f t="shared" si="0"/>
        <v>0.25714285714285712</v>
      </c>
      <c r="R44" s="18">
        <f t="shared" si="1"/>
        <v>0</v>
      </c>
      <c r="S44" s="1" t="str">
        <f t="shared" si="2"/>
        <v>Enterprise</v>
      </c>
      <c r="T44" s="18">
        <f t="shared" si="3"/>
        <v>0.74285714285714288</v>
      </c>
      <c r="U44" s="1" t="str">
        <f t="shared" si="4"/>
        <v>Profitable ✅</v>
      </c>
    </row>
    <row r="45" spans="1:21" x14ac:dyDescent="0.35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  <c r="Q45" s="18">
        <f t="shared" si="0"/>
        <v>0.16666666666666666</v>
      </c>
      <c r="R45" s="18">
        <f t="shared" si="1"/>
        <v>0</v>
      </c>
      <c r="S45" s="1" t="str">
        <f t="shared" si="2"/>
        <v>Enterprise</v>
      </c>
      <c r="T45" s="18">
        <f t="shared" si="3"/>
        <v>0.83333333333333337</v>
      </c>
      <c r="U45" s="1" t="str">
        <f t="shared" si="4"/>
        <v>Profitable ✅</v>
      </c>
    </row>
    <row r="46" spans="1:21" x14ac:dyDescent="0.35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  <c r="Q46" s="18">
        <f t="shared" si="0"/>
        <v>0.5</v>
      </c>
      <c r="R46" s="18">
        <f t="shared" si="1"/>
        <v>0</v>
      </c>
      <c r="S46" s="1" t="str">
        <f t="shared" si="2"/>
        <v>Medium</v>
      </c>
      <c r="T46" s="18">
        <f t="shared" si="3"/>
        <v>0.5</v>
      </c>
      <c r="U46" s="1" t="str">
        <f t="shared" si="4"/>
        <v>Profitable ✅</v>
      </c>
    </row>
    <row r="47" spans="1:21" x14ac:dyDescent="0.35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  <c r="Q47" s="18">
        <f t="shared" si="0"/>
        <v>0.25714285714285712</v>
      </c>
      <c r="R47" s="18">
        <f t="shared" si="1"/>
        <v>0</v>
      </c>
      <c r="S47" s="1" t="str">
        <f t="shared" si="2"/>
        <v>Enterprise</v>
      </c>
      <c r="T47" s="18">
        <f t="shared" si="3"/>
        <v>0.74285714285714288</v>
      </c>
      <c r="U47" s="1" t="str">
        <f t="shared" si="4"/>
        <v>Profitable ✅</v>
      </c>
    </row>
    <row r="48" spans="1:21" x14ac:dyDescent="0.35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  <c r="Q48" s="18">
        <f t="shared" si="0"/>
        <v>0.75</v>
      </c>
      <c r="R48" s="18">
        <f t="shared" si="1"/>
        <v>0</v>
      </c>
      <c r="S48" s="1" t="str">
        <f t="shared" si="2"/>
        <v>Medium</v>
      </c>
      <c r="T48" s="18">
        <f t="shared" si="3"/>
        <v>0.25</v>
      </c>
      <c r="U48" s="1" t="str">
        <f t="shared" si="4"/>
        <v>Profitable ✅</v>
      </c>
    </row>
    <row r="49" spans="1:21" x14ac:dyDescent="0.35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  <c r="Q49" s="18">
        <f t="shared" si="0"/>
        <v>0.04</v>
      </c>
      <c r="R49" s="18">
        <f t="shared" si="1"/>
        <v>0</v>
      </c>
      <c r="S49" s="1" t="str">
        <f t="shared" si="2"/>
        <v>Enterprise</v>
      </c>
      <c r="T49" s="18">
        <f t="shared" si="3"/>
        <v>0.96</v>
      </c>
      <c r="U49" s="1" t="str">
        <f t="shared" si="4"/>
        <v>Profitable ✅</v>
      </c>
    </row>
    <row r="50" spans="1:21" x14ac:dyDescent="0.35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  <c r="Q50" s="18">
        <f t="shared" si="0"/>
        <v>0.5</v>
      </c>
      <c r="R50" s="18">
        <f t="shared" si="1"/>
        <v>0</v>
      </c>
      <c r="S50" s="1" t="str">
        <f t="shared" si="2"/>
        <v>Medium</v>
      </c>
      <c r="T50" s="18">
        <f t="shared" si="3"/>
        <v>0.5</v>
      </c>
      <c r="U50" s="1" t="str">
        <f t="shared" si="4"/>
        <v>Profitable ✅</v>
      </c>
    </row>
    <row r="51" spans="1:21" x14ac:dyDescent="0.35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  <c r="Q51" s="18">
        <f t="shared" si="0"/>
        <v>0.2857142857142857</v>
      </c>
      <c r="R51" s="18">
        <f t="shared" si="1"/>
        <v>0</v>
      </c>
      <c r="S51" s="1" t="str">
        <f t="shared" si="2"/>
        <v>Medium</v>
      </c>
      <c r="T51" s="18">
        <f t="shared" si="3"/>
        <v>0.7142857142857143</v>
      </c>
      <c r="U51" s="1" t="str">
        <f t="shared" si="4"/>
        <v>Profitable ✅</v>
      </c>
    </row>
    <row r="52" spans="1:21" x14ac:dyDescent="0.35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  <c r="Q52" s="18">
        <f t="shared" si="0"/>
        <v>0.75</v>
      </c>
      <c r="R52" s="18">
        <f t="shared" si="1"/>
        <v>0</v>
      </c>
      <c r="S52" s="1" t="str">
        <f t="shared" si="2"/>
        <v>Medium</v>
      </c>
      <c r="T52" s="18">
        <f t="shared" si="3"/>
        <v>0.25</v>
      </c>
      <c r="U52" s="1" t="str">
        <f t="shared" si="4"/>
        <v>Profitable ✅</v>
      </c>
    </row>
    <row r="53" spans="1:21" x14ac:dyDescent="0.35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  <c r="Q53" s="18">
        <f t="shared" si="0"/>
        <v>0.2857142857142857</v>
      </c>
      <c r="R53" s="18">
        <f t="shared" si="1"/>
        <v>0</v>
      </c>
      <c r="S53" s="1" t="str">
        <f t="shared" si="2"/>
        <v>Small</v>
      </c>
      <c r="T53" s="18">
        <f t="shared" si="3"/>
        <v>0.7142857142857143</v>
      </c>
      <c r="U53" s="1" t="str">
        <f t="shared" si="4"/>
        <v>Profitable ✅</v>
      </c>
    </row>
    <row r="54" spans="1:21" x14ac:dyDescent="0.35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  <c r="Q54" s="18">
        <f t="shared" si="0"/>
        <v>0.33333333333333331</v>
      </c>
      <c r="R54" s="18">
        <f t="shared" si="1"/>
        <v>0</v>
      </c>
      <c r="S54" s="1" t="str">
        <f t="shared" si="2"/>
        <v>Small</v>
      </c>
      <c r="T54" s="18">
        <f t="shared" si="3"/>
        <v>0.66666666666666663</v>
      </c>
      <c r="U54" s="1" t="str">
        <f t="shared" si="4"/>
        <v>Profitable ✅</v>
      </c>
    </row>
    <row r="55" spans="1:21" x14ac:dyDescent="0.35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  <c r="Q55" s="18">
        <f t="shared" si="0"/>
        <v>0.27849927849927858</v>
      </c>
      <c r="R55" s="18">
        <f t="shared" si="1"/>
        <v>9.9999999999999985E-3</v>
      </c>
      <c r="S55" s="1" t="str">
        <f t="shared" si="2"/>
        <v>Medium</v>
      </c>
      <c r="T55" s="18">
        <f t="shared" si="3"/>
        <v>0.72150072150072142</v>
      </c>
      <c r="U55" s="1" t="str">
        <f t="shared" si="4"/>
        <v>Profitable ✅</v>
      </c>
    </row>
    <row r="56" spans="1:21" x14ac:dyDescent="0.35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  <c r="Q56" s="18">
        <f t="shared" si="0"/>
        <v>0.32659932659932656</v>
      </c>
      <c r="R56" s="18">
        <f t="shared" si="1"/>
        <v>9.9999999999999985E-3</v>
      </c>
      <c r="S56" s="1" t="str">
        <f t="shared" si="2"/>
        <v>Medium</v>
      </c>
      <c r="T56" s="18">
        <f t="shared" si="3"/>
        <v>0.67340067340067344</v>
      </c>
      <c r="U56" s="1" t="str">
        <f t="shared" si="4"/>
        <v>Profitable ✅</v>
      </c>
    </row>
    <row r="57" spans="1:21" x14ac:dyDescent="0.35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  <c r="Q57" s="18">
        <f t="shared" si="0"/>
        <v>0.27849927849927847</v>
      </c>
      <c r="R57" s="18">
        <f t="shared" si="1"/>
        <v>9.9999999999999985E-3</v>
      </c>
      <c r="S57" s="1" t="str">
        <f t="shared" si="2"/>
        <v>Small</v>
      </c>
      <c r="T57" s="18">
        <f t="shared" si="3"/>
        <v>0.72150072150072153</v>
      </c>
      <c r="U57" s="1" t="str">
        <f t="shared" si="4"/>
        <v>Profitable ✅</v>
      </c>
    </row>
    <row r="58" spans="1:21" x14ac:dyDescent="0.35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  <c r="Q58" s="18">
        <f t="shared" si="0"/>
        <v>0.27849927849927858</v>
      </c>
      <c r="R58" s="18">
        <f t="shared" si="1"/>
        <v>9.9999999999999985E-3</v>
      </c>
      <c r="S58" s="1" t="str">
        <f t="shared" si="2"/>
        <v>Small</v>
      </c>
      <c r="T58" s="18">
        <f t="shared" si="3"/>
        <v>0.72150072150072142</v>
      </c>
      <c r="U58" s="1" t="str">
        <f t="shared" si="4"/>
        <v>Profitable ✅</v>
      </c>
    </row>
    <row r="59" spans="1:21" x14ac:dyDescent="0.35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  <c r="Q59" s="18">
        <f t="shared" si="0"/>
        <v>0.27849927849927852</v>
      </c>
      <c r="R59" s="18">
        <f t="shared" si="1"/>
        <v>9.9999999999999985E-3</v>
      </c>
      <c r="S59" s="1" t="str">
        <f t="shared" si="2"/>
        <v>Small</v>
      </c>
      <c r="T59" s="18">
        <f t="shared" si="3"/>
        <v>0.72150072150072153</v>
      </c>
      <c r="U59" s="1" t="str">
        <f t="shared" si="4"/>
        <v>Profitable ✅</v>
      </c>
    </row>
    <row r="60" spans="1:21" x14ac:dyDescent="0.35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  <c r="Q60" s="18">
        <f t="shared" si="0"/>
        <v>0.74747474747474751</v>
      </c>
      <c r="R60" s="18">
        <f t="shared" si="1"/>
        <v>0.01</v>
      </c>
      <c r="S60" s="1" t="str">
        <f t="shared" si="2"/>
        <v>Medium</v>
      </c>
      <c r="T60" s="18">
        <f t="shared" si="3"/>
        <v>0.25252525252525254</v>
      </c>
      <c r="U60" s="1" t="str">
        <f t="shared" si="4"/>
        <v>Profitable ✅</v>
      </c>
    </row>
    <row r="61" spans="1:21" x14ac:dyDescent="0.35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  <c r="Q61" s="18">
        <f t="shared" si="0"/>
        <v>0.24963924963924963</v>
      </c>
      <c r="R61" s="18">
        <f t="shared" si="1"/>
        <v>0.01</v>
      </c>
      <c r="S61" s="1" t="str">
        <f t="shared" si="2"/>
        <v>Enterprise</v>
      </c>
      <c r="T61" s="18">
        <f t="shared" si="3"/>
        <v>0.75036075036075034</v>
      </c>
      <c r="U61" s="1" t="str">
        <f t="shared" si="4"/>
        <v>Profitable ✅</v>
      </c>
    </row>
    <row r="62" spans="1:21" x14ac:dyDescent="0.35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  <c r="Q62" s="18">
        <f t="shared" si="0"/>
        <v>0.27849927849927847</v>
      </c>
      <c r="R62" s="18">
        <f t="shared" si="1"/>
        <v>0.01</v>
      </c>
      <c r="S62" s="1" t="str">
        <f t="shared" si="2"/>
        <v>Medium</v>
      </c>
      <c r="T62" s="18">
        <f t="shared" si="3"/>
        <v>0.72150072150072142</v>
      </c>
      <c r="U62" s="1" t="str">
        <f t="shared" si="4"/>
        <v>Profitable ✅</v>
      </c>
    </row>
    <row r="63" spans="1:21" x14ac:dyDescent="0.35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  <c r="Q63" s="18">
        <f t="shared" si="0"/>
        <v>0.7474747474747474</v>
      </c>
      <c r="R63" s="18">
        <f t="shared" si="1"/>
        <v>0.01</v>
      </c>
      <c r="S63" s="1" t="str">
        <f t="shared" si="2"/>
        <v>Medium</v>
      </c>
      <c r="T63" s="18">
        <f t="shared" si="3"/>
        <v>0.25252525252525254</v>
      </c>
      <c r="U63" s="1" t="str">
        <f t="shared" si="4"/>
        <v>Profitable ✅</v>
      </c>
    </row>
    <row r="64" spans="1:21" x14ac:dyDescent="0.35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  <c r="Q64" s="18">
        <f t="shared" si="0"/>
        <v>3.0303030303030304E-2</v>
      </c>
      <c r="R64" s="18">
        <f t="shared" si="1"/>
        <v>0.01</v>
      </c>
      <c r="S64" s="1" t="str">
        <f t="shared" si="2"/>
        <v>Medium</v>
      </c>
      <c r="T64" s="18">
        <f t="shared" si="3"/>
        <v>0.96969696969696972</v>
      </c>
      <c r="U64" s="1" t="str">
        <f t="shared" si="4"/>
        <v>Profitable ✅</v>
      </c>
    </row>
    <row r="65" spans="1:21" x14ac:dyDescent="0.35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  <c r="Q65" s="18">
        <f t="shared" si="0"/>
        <v>0.74747474747474751</v>
      </c>
      <c r="R65" s="18">
        <f t="shared" si="1"/>
        <v>0.01</v>
      </c>
      <c r="S65" s="1" t="str">
        <f t="shared" si="2"/>
        <v>Medium</v>
      </c>
      <c r="T65" s="18">
        <f t="shared" si="3"/>
        <v>0.25252525252525254</v>
      </c>
      <c r="U65" s="1" t="str">
        <f t="shared" si="4"/>
        <v>Profitable ✅</v>
      </c>
    </row>
    <row r="66" spans="1:21" x14ac:dyDescent="0.35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  <c r="Q66" s="18">
        <f t="shared" ref="Q66:Q129" si="5">IF(J66=0,0,L66/J66)</f>
        <v>0.74747474747474751</v>
      </c>
      <c r="R66" s="18">
        <f t="shared" ref="R66:R129" si="6">IF(H66=0,0, I66/H66)</f>
        <v>0.01</v>
      </c>
      <c r="S66" s="1" t="str">
        <f t="shared" ref="S66:S129" si="7">IF(J66&lt;10000,"Small",IF(J66&lt;50000,"Medium",IF(J66&lt;200000,"Large","Enterprise")))</f>
        <v>Small</v>
      </c>
      <c r="T66" s="18">
        <f t="shared" ref="T66:T129" si="8">IF(J66=0,0,K66/J66)</f>
        <v>0.25252525252525254</v>
      </c>
      <c r="U66" s="1" t="str">
        <f t="shared" ref="U66:U129" si="9">IFERROR(IF(L66&gt;0,"Profitable ✅",IF(L66=0,"Breakeven ⚖️","Loss ❌")),"Check Data 📊")</f>
        <v>Profitable ✅</v>
      </c>
    </row>
    <row r="67" spans="1:21" x14ac:dyDescent="0.35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  <c r="Q67" s="18">
        <f t="shared" si="5"/>
        <v>0.15824915824915825</v>
      </c>
      <c r="R67" s="18">
        <f t="shared" si="6"/>
        <v>0.01</v>
      </c>
      <c r="S67" s="1" t="str">
        <f t="shared" si="7"/>
        <v>Large</v>
      </c>
      <c r="T67" s="18">
        <f t="shared" si="8"/>
        <v>0.84175084175084181</v>
      </c>
      <c r="U67" s="1" t="str">
        <f t="shared" si="9"/>
        <v>Profitable ✅</v>
      </c>
    </row>
    <row r="68" spans="1:21" x14ac:dyDescent="0.35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  <c r="Q68" s="18">
        <f t="shared" si="5"/>
        <v>0.24963924963924963</v>
      </c>
      <c r="R68" s="18">
        <f t="shared" si="6"/>
        <v>0.01</v>
      </c>
      <c r="S68" s="1" t="str">
        <f t="shared" si="7"/>
        <v>Enterprise</v>
      </c>
      <c r="T68" s="18">
        <f t="shared" si="8"/>
        <v>0.75036075036075034</v>
      </c>
      <c r="U68" s="1" t="str">
        <f t="shared" si="9"/>
        <v>Profitable ✅</v>
      </c>
    </row>
    <row r="69" spans="1:21" x14ac:dyDescent="0.35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  <c r="Q69" s="18">
        <f t="shared" si="5"/>
        <v>0.24963924963924963</v>
      </c>
      <c r="R69" s="18">
        <f t="shared" si="6"/>
        <v>0.01</v>
      </c>
      <c r="S69" s="1" t="str">
        <f t="shared" si="7"/>
        <v>Enterprise</v>
      </c>
      <c r="T69" s="18">
        <f t="shared" si="8"/>
        <v>0.75036075036075034</v>
      </c>
      <c r="U69" s="1" t="str">
        <f t="shared" si="9"/>
        <v>Profitable ✅</v>
      </c>
    </row>
    <row r="70" spans="1:21" x14ac:dyDescent="0.35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  <c r="Q70" s="18">
        <f t="shared" si="5"/>
        <v>0.32659932659932661</v>
      </c>
      <c r="R70" s="18">
        <f t="shared" si="6"/>
        <v>0.01</v>
      </c>
      <c r="S70" s="1" t="str">
        <f t="shared" si="7"/>
        <v>Medium</v>
      </c>
      <c r="T70" s="18">
        <f t="shared" si="8"/>
        <v>0.67340067340067333</v>
      </c>
      <c r="U70" s="1" t="str">
        <f t="shared" si="9"/>
        <v>Profitable ✅</v>
      </c>
    </row>
    <row r="71" spans="1:21" x14ac:dyDescent="0.35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  <c r="Q71" s="18">
        <f t="shared" si="5"/>
        <v>0.15824915824915825</v>
      </c>
      <c r="R71" s="18">
        <f t="shared" si="6"/>
        <v>0.01</v>
      </c>
      <c r="S71" s="1" t="str">
        <f t="shared" si="7"/>
        <v>Enterprise</v>
      </c>
      <c r="T71" s="18">
        <f t="shared" si="8"/>
        <v>0.84175084175084181</v>
      </c>
      <c r="U71" s="1" t="str">
        <f t="shared" si="9"/>
        <v>Profitable ✅</v>
      </c>
    </row>
    <row r="72" spans="1:21" x14ac:dyDescent="0.35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  <c r="Q72" s="18">
        <f t="shared" si="5"/>
        <v>0.49494949494949492</v>
      </c>
      <c r="R72" s="18">
        <f t="shared" si="6"/>
        <v>0.01</v>
      </c>
      <c r="S72" s="1" t="str">
        <f t="shared" si="7"/>
        <v>Medium</v>
      </c>
      <c r="T72" s="18">
        <f t="shared" si="8"/>
        <v>0.50505050505050508</v>
      </c>
      <c r="U72" s="1" t="str">
        <f t="shared" si="9"/>
        <v>Profitable ✅</v>
      </c>
    </row>
    <row r="73" spans="1:21" x14ac:dyDescent="0.35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  <c r="Q73" s="18">
        <f t="shared" si="5"/>
        <v>0.27849927849927847</v>
      </c>
      <c r="R73" s="18">
        <f t="shared" si="6"/>
        <v>0.01</v>
      </c>
      <c r="S73" s="1" t="str">
        <f t="shared" si="7"/>
        <v>Medium</v>
      </c>
      <c r="T73" s="18">
        <f t="shared" si="8"/>
        <v>0.72150072150072153</v>
      </c>
      <c r="U73" s="1" t="str">
        <f t="shared" si="9"/>
        <v>Profitable ✅</v>
      </c>
    </row>
    <row r="74" spans="1:21" x14ac:dyDescent="0.35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  <c r="Q74" s="18">
        <f t="shared" si="5"/>
        <v>0.15824915824915825</v>
      </c>
      <c r="R74" s="18">
        <f t="shared" si="6"/>
        <v>0.01</v>
      </c>
      <c r="S74" s="1" t="str">
        <f t="shared" si="7"/>
        <v>Enterprise</v>
      </c>
      <c r="T74" s="18">
        <f t="shared" si="8"/>
        <v>0.84175084175084181</v>
      </c>
      <c r="U74" s="1" t="str">
        <f t="shared" si="9"/>
        <v>Profitable ✅</v>
      </c>
    </row>
    <row r="75" spans="1:21" x14ac:dyDescent="0.35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  <c r="Q75" s="18">
        <f t="shared" si="5"/>
        <v>3.0303030303030304E-2</v>
      </c>
      <c r="R75" s="18">
        <f t="shared" si="6"/>
        <v>0.01</v>
      </c>
      <c r="S75" s="1" t="str">
        <f t="shared" si="7"/>
        <v>Large</v>
      </c>
      <c r="T75" s="18">
        <f t="shared" si="8"/>
        <v>0.96969696969696972</v>
      </c>
      <c r="U75" s="1" t="str">
        <f t="shared" si="9"/>
        <v>Profitable ✅</v>
      </c>
    </row>
    <row r="76" spans="1:21" x14ac:dyDescent="0.35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  <c r="Q76" s="18">
        <f t="shared" si="5"/>
        <v>0.32659932659932667</v>
      </c>
      <c r="R76" s="18">
        <f t="shared" si="6"/>
        <v>0.01</v>
      </c>
      <c r="S76" s="1" t="str">
        <f t="shared" si="7"/>
        <v>Medium</v>
      </c>
      <c r="T76" s="18">
        <f t="shared" si="8"/>
        <v>0.67340067340067333</v>
      </c>
      <c r="U76" s="1" t="str">
        <f t="shared" si="9"/>
        <v>Profitable ✅</v>
      </c>
    </row>
    <row r="77" spans="1:21" x14ac:dyDescent="0.35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  <c r="Q77" s="18">
        <f t="shared" si="5"/>
        <v>0.27849927849927847</v>
      </c>
      <c r="R77" s="18">
        <f t="shared" si="6"/>
        <v>0.01</v>
      </c>
      <c r="S77" s="1" t="str">
        <f t="shared" si="7"/>
        <v>Medium</v>
      </c>
      <c r="T77" s="18">
        <f t="shared" si="8"/>
        <v>0.72150072150072153</v>
      </c>
      <c r="U77" s="1" t="str">
        <f t="shared" si="9"/>
        <v>Profitable ✅</v>
      </c>
    </row>
    <row r="78" spans="1:21" x14ac:dyDescent="0.35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  <c r="Q78" s="18">
        <f t="shared" si="5"/>
        <v>3.0303030303030304E-2</v>
      </c>
      <c r="R78" s="18">
        <f t="shared" si="6"/>
        <v>0.01</v>
      </c>
      <c r="S78" s="1" t="str">
        <f t="shared" si="7"/>
        <v>Large</v>
      </c>
      <c r="T78" s="18">
        <f t="shared" si="8"/>
        <v>0.96969696969696972</v>
      </c>
      <c r="U78" s="1" t="str">
        <f t="shared" si="9"/>
        <v>Profitable ✅</v>
      </c>
    </row>
    <row r="79" spans="1:21" x14ac:dyDescent="0.35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  <c r="Q79" s="18">
        <f t="shared" si="5"/>
        <v>3.0303030303030304E-2</v>
      </c>
      <c r="R79" s="18">
        <f t="shared" si="6"/>
        <v>0.01</v>
      </c>
      <c r="S79" s="1" t="str">
        <f t="shared" si="7"/>
        <v>Large</v>
      </c>
      <c r="T79" s="18">
        <f t="shared" si="8"/>
        <v>0.96969696969696972</v>
      </c>
      <c r="U79" s="1" t="str">
        <f t="shared" si="9"/>
        <v>Profitable ✅</v>
      </c>
    </row>
    <row r="80" spans="1:21" x14ac:dyDescent="0.35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  <c r="Q80" s="18">
        <f t="shared" si="5"/>
        <v>3.0303030303030304E-2</v>
      </c>
      <c r="R80" s="18">
        <f t="shared" si="6"/>
        <v>0.01</v>
      </c>
      <c r="S80" s="1" t="str">
        <f t="shared" si="7"/>
        <v>Enterprise</v>
      </c>
      <c r="T80" s="18">
        <f t="shared" si="8"/>
        <v>0.96969696969696972</v>
      </c>
      <c r="U80" s="1" t="str">
        <f t="shared" si="9"/>
        <v>Profitable ✅</v>
      </c>
    </row>
    <row r="81" spans="1:21" x14ac:dyDescent="0.35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  <c r="Q81" s="18">
        <f t="shared" si="5"/>
        <v>0.32659932659932667</v>
      </c>
      <c r="R81" s="18">
        <f t="shared" si="6"/>
        <v>0.01</v>
      </c>
      <c r="S81" s="1" t="str">
        <f t="shared" si="7"/>
        <v>Medium</v>
      </c>
      <c r="T81" s="18">
        <f t="shared" si="8"/>
        <v>0.67340067340067333</v>
      </c>
      <c r="U81" s="1" t="str">
        <f t="shared" si="9"/>
        <v>Profitable ✅</v>
      </c>
    </row>
    <row r="82" spans="1:21" x14ac:dyDescent="0.35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  <c r="Q82" s="18">
        <f t="shared" si="5"/>
        <v>0.74747474747474751</v>
      </c>
      <c r="R82" s="18">
        <f t="shared" si="6"/>
        <v>0.01</v>
      </c>
      <c r="S82" s="1" t="str">
        <f t="shared" si="7"/>
        <v>Small</v>
      </c>
      <c r="T82" s="18">
        <f t="shared" si="8"/>
        <v>0.25252525252525254</v>
      </c>
      <c r="U82" s="1" t="str">
        <f t="shared" si="9"/>
        <v>Profitable ✅</v>
      </c>
    </row>
    <row r="83" spans="1:21" x14ac:dyDescent="0.35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  <c r="Q83" s="18">
        <f t="shared" si="5"/>
        <v>0.15824915824915825</v>
      </c>
      <c r="R83" s="18">
        <f t="shared" si="6"/>
        <v>0.01</v>
      </c>
      <c r="S83" s="1" t="str">
        <f t="shared" si="7"/>
        <v>Enterprise</v>
      </c>
      <c r="T83" s="18">
        <f t="shared" si="8"/>
        <v>0.84175084175084181</v>
      </c>
      <c r="U83" s="1" t="str">
        <f t="shared" si="9"/>
        <v>Profitable ✅</v>
      </c>
    </row>
    <row r="84" spans="1:21" x14ac:dyDescent="0.35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  <c r="Q84" s="18">
        <f t="shared" si="5"/>
        <v>0.24963924963924963</v>
      </c>
      <c r="R84" s="18">
        <f t="shared" si="6"/>
        <v>0.01</v>
      </c>
      <c r="S84" s="1" t="str">
        <f t="shared" si="7"/>
        <v>Enterprise</v>
      </c>
      <c r="T84" s="18">
        <f t="shared" si="8"/>
        <v>0.75036075036075034</v>
      </c>
      <c r="U84" s="1" t="str">
        <f t="shared" si="9"/>
        <v>Profitable ✅</v>
      </c>
    </row>
    <row r="85" spans="1:21" x14ac:dyDescent="0.35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  <c r="Q85" s="18">
        <f t="shared" si="5"/>
        <v>0.49494949494949492</v>
      </c>
      <c r="R85" s="18">
        <f t="shared" si="6"/>
        <v>0.01</v>
      </c>
      <c r="S85" s="1" t="str">
        <f t="shared" si="7"/>
        <v>Large</v>
      </c>
      <c r="T85" s="18">
        <f t="shared" si="8"/>
        <v>0.50505050505050497</v>
      </c>
      <c r="U85" s="1" t="str">
        <f t="shared" si="9"/>
        <v>Profitable ✅</v>
      </c>
    </row>
    <row r="86" spans="1:21" x14ac:dyDescent="0.35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  <c r="Q86" s="18">
        <f t="shared" si="5"/>
        <v>0.27849927849927847</v>
      </c>
      <c r="R86" s="18">
        <f t="shared" si="6"/>
        <v>0.01</v>
      </c>
      <c r="S86" s="1" t="str">
        <f t="shared" si="7"/>
        <v>Small</v>
      </c>
      <c r="T86" s="18">
        <f t="shared" si="8"/>
        <v>0.72150072150072153</v>
      </c>
      <c r="U86" s="1" t="str">
        <f t="shared" si="9"/>
        <v>Profitable ✅</v>
      </c>
    </row>
    <row r="87" spans="1:21" x14ac:dyDescent="0.35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  <c r="Q87" s="18">
        <f t="shared" si="5"/>
        <v>3.0303030303030304E-2</v>
      </c>
      <c r="R87" s="18">
        <f t="shared" si="6"/>
        <v>0.01</v>
      </c>
      <c r="S87" s="1" t="str">
        <f t="shared" si="7"/>
        <v>Large</v>
      </c>
      <c r="T87" s="18">
        <f t="shared" si="8"/>
        <v>0.96969696969696972</v>
      </c>
      <c r="U87" s="1" t="str">
        <f t="shared" si="9"/>
        <v>Profitable ✅</v>
      </c>
    </row>
    <row r="88" spans="1:21" x14ac:dyDescent="0.35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  <c r="Q88" s="18">
        <f t="shared" si="5"/>
        <v>3.0303030303030304E-2</v>
      </c>
      <c r="R88" s="18">
        <f t="shared" si="6"/>
        <v>0.01</v>
      </c>
      <c r="S88" s="1" t="str">
        <f t="shared" si="7"/>
        <v>Large</v>
      </c>
      <c r="T88" s="18">
        <f t="shared" si="8"/>
        <v>0.96969696969696972</v>
      </c>
      <c r="U88" s="1" t="str">
        <f t="shared" si="9"/>
        <v>Profitable ✅</v>
      </c>
    </row>
    <row r="89" spans="1:21" x14ac:dyDescent="0.35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  <c r="Q89" s="18">
        <f t="shared" si="5"/>
        <v>0.27849927849927847</v>
      </c>
      <c r="R89" s="18">
        <f t="shared" si="6"/>
        <v>0.01</v>
      </c>
      <c r="S89" s="1" t="str">
        <f t="shared" si="7"/>
        <v>Medium</v>
      </c>
      <c r="T89" s="18">
        <f t="shared" si="8"/>
        <v>0.72150072150072153</v>
      </c>
      <c r="U89" s="1" t="str">
        <f t="shared" si="9"/>
        <v>Profitable ✅</v>
      </c>
    </row>
    <row r="90" spans="1:21" x14ac:dyDescent="0.35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  <c r="Q90" s="18">
        <f t="shared" si="5"/>
        <v>0.27849927849927847</v>
      </c>
      <c r="R90" s="18">
        <f t="shared" si="6"/>
        <v>0.01</v>
      </c>
      <c r="S90" s="1" t="str">
        <f t="shared" si="7"/>
        <v>Small</v>
      </c>
      <c r="T90" s="18">
        <f t="shared" si="8"/>
        <v>0.72150072150072153</v>
      </c>
      <c r="U90" s="1" t="str">
        <f t="shared" si="9"/>
        <v>Profitable ✅</v>
      </c>
    </row>
    <row r="91" spans="1:21" x14ac:dyDescent="0.35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  <c r="Q91" s="18">
        <f t="shared" si="5"/>
        <v>0.24963924963924963</v>
      </c>
      <c r="R91" s="18">
        <f t="shared" si="6"/>
        <v>0.01</v>
      </c>
      <c r="S91" s="1" t="str">
        <f t="shared" si="7"/>
        <v>Enterprise</v>
      </c>
      <c r="T91" s="18">
        <f t="shared" si="8"/>
        <v>0.75036075036075034</v>
      </c>
      <c r="U91" s="1" t="str">
        <f t="shared" si="9"/>
        <v>Profitable ✅</v>
      </c>
    </row>
    <row r="92" spans="1:21" x14ac:dyDescent="0.35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  <c r="Q92" s="18">
        <f t="shared" si="5"/>
        <v>3.0303030303030304E-2</v>
      </c>
      <c r="R92" s="18">
        <f t="shared" si="6"/>
        <v>0.01</v>
      </c>
      <c r="S92" s="1" t="str">
        <f t="shared" si="7"/>
        <v>Large</v>
      </c>
      <c r="T92" s="18">
        <f t="shared" si="8"/>
        <v>0.96969696969696972</v>
      </c>
      <c r="U92" s="1" t="str">
        <f t="shared" si="9"/>
        <v>Profitable ✅</v>
      </c>
    </row>
    <row r="93" spans="1:21" x14ac:dyDescent="0.35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  <c r="Q93" s="18">
        <f t="shared" si="5"/>
        <v>3.0303030303030304E-2</v>
      </c>
      <c r="R93" s="18">
        <f t="shared" si="6"/>
        <v>0.01</v>
      </c>
      <c r="S93" s="1" t="str">
        <f t="shared" si="7"/>
        <v>Large</v>
      </c>
      <c r="T93" s="18">
        <f t="shared" si="8"/>
        <v>0.96969696969696972</v>
      </c>
      <c r="U93" s="1" t="str">
        <f t="shared" si="9"/>
        <v>Profitable ✅</v>
      </c>
    </row>
    <row r="94" spans="1:21" x14ac:dyDescent="0.35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  <c r="Q94" s="18">
        <f t="shared" si="5"/>
        <v>0.15824915824915825</v>
      </c>
      <c r="R94" s="18">
        <f t="shared" si="6"/>
        <v>0.01</v>
      </c>
      <c r="S94" s="1" t="str">
        <f t="shared" si="7"/>
        <v>Enterprise</v>
      </c>
      <c r="T94" s="18">
        <f t="shared" si="8"/>
        <v>0.84175084175084181</v>
      </c>
      <c r="U94" s="1" t="str">
        <f t="shared" si="9"/>
        <v>Profitable ✅</v>
      </c>
    </row>
    <row r="95" spans="1:21" x14ac:dyDescent="0.35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  <c r="Q95" s="18">
        <f t="shared" si="5"/>
        <v>0.15824915824915825</v>
      </c>
      <c r="R95" s="18">
        <f t="shared" si="6"/>
        <v>0.01</v>
      </c>
      <c r="S95" s="1" t="str">
        <f t="shared" si="7"/>
        <v>Large</v>
      </c>
      <c r="T95" s="18">
        <f t="shared" si="8"/>
        <v>0.84175084175084181</v>
      </c>
      <c r="U95" s="1" t="str">
        <f t="shared" si="9"/>
        <v>Profitable ✅</v>
      </c>
    </row>
    <row r="96" spans="1:21" x14ac:dyDescent="0.35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  <c r="Q96" s="18">
        <f t="shared" si="5"/>
        <v>0.24963924963924963</v>
      </c>
      <c r="R96" s="18">
        <f t="shared" si="6"/>
        <v>0.01</v>
      </c>
      <c r="S96" s="1" t="str">
        <f t="shared" si="7"/>
        <v>Enterprise</v>
      </c>
      <c r="T96" s="18">
        <f t="shared" si="8"/>
        <v>0.75036075036075034</v>
      </c>
      <c r="U96" s="1" t="str">
        <f t="shared" si="9"/>
        <v>Profitable ✅</v>
      </c>
    </row>
    <row r="97" spans="1:21" x14ac:dyDescent="0.35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  <c r="Q97" s="18">
        <f t="shared" si="5"/>
        <v>3.0303030303030304E-2</v>
      </c>
      <c r="R97" s="18">
        <f t="shared" si="6"/>
        <v>0.01</v>
      </c>
      <c r="S97" s="1" t="str">
        <f t="shared" si="7"/>
        <v>Enterprise</v>
      </c>
      <c r="T97" s="18">
        <f t="shared" si="8"/>
        <v>0.96969696969696972</v>
      </c>
      <c r="U97" s="1" t="str">
        <f t="shared" si="9"/>
        <v>Profitable ✅</v>
      </c>
    </row>
    <row r="98" spans="1:21" x14ac:dyDescent="0.35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  <c r="Q98" s="18">
        <f t="shared" si="5"/>
        <v>0.74747474747474751</v>
      </c>
      <c r="R98" s="18">
        <f t="shared" si="6"/>
        <v>0.01</v>
      </c>
      <c r="S98" s="1" t="str">
        <f t="shared" si="7"/>
        <v>Medium</v>
      </c>
      <c r="T98" s="18">
        <f t="shared" si="8"/>
        <v>0.25252525252525254</v>
      </c>
      <c r="U98" s="1" t="str">
        <f t="shared" si="9"/>
        <v>Profitable ✅</v>
      </c>
    </row>
    <row r="99" spans="1:21" x14ac:dyDescent="0.35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  <c r="Q99" s="18">
        <f t="shared" si="5"/>
        <v>0.32659932659932667</v>
      </c>
      <c r="R99" s="18">
        <f t="shared" si="6"/>
        <v>0.01</v>
      </c>
      <c r="S99" s="1" t="str">
        <f t="shared" si="7"/>
        <v>Small</v>
      </c>
      <c r="T99" s="18">
        <f t="shared" si="8"/>
        <v>0.67340067340067333</v>
      </c>
      <c r="U99" s="1" t="str">
        <f t="shared" si="9"/>
        <v>Profitable ✅</v>
      </c>
    </row>
    <row r="100" spans="1:21" x14ac:dyDescent="0.35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  <c r="Q100" s="18">
        <f t="shared" si="5"/>
        <v>2.0408163265306121E-2</v>
      </c>
      <c r="R100" s="18">
        <f t="shared" si="6"/>
        <v>0.02</v>
      </c>
      <c r="S100" s="1" t="str">
        <f t="shared" si="7"/>
        <v>Large</v>
      </c>
      <c r="T100" s="18">
        <f t="shared" si="8"/>
        <v>0.97959183673469385</v>
      </c>
      <c r="U100" s="1" t="str">
        <f t="shared" si="9"/>
        <v>Profitable ✅</v>
      </c>
    </row>
    <row r="101" spans="1:21" x14ac:dyDescent="0.35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  <c r="Q101" s="18">
        <f t="shared" si="5"/>
        <v>0.74489795918367352</v>
      </c>
      <c r="R101" s="18">
        <f t="shared" si="6"/>
        <v>0.02</v>
      </c>
      <c r="S101" s="1" t="str">
        <f t="shared" si="7"/>
        <v>Medium</v>
      </c>
      <c r="T101" s="18">
        <f t="shared" si="8"/>
        <v>0.25510204081632654</v>
      </c>
      <c r="U101" s="1" t="str">
        <f t="shared" si="9"/>
        <v>Profitable ✅</v>
      </c>
    </row>
    <row r="102" spans="1:21" x14ac:dyDescent="0.35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  <c r="Q102" s="18">
        <f t="shared" si="5"/>
        <v>0.14965986394557823</v>
      </c>
      <c r="R102" s="18">
        <f t="shared" si="6"/>
        <v>0.02</v>
      </c>
      <c r="S102" s="1" t="str">
        <f t="shared" si="7"/>
        <v>Large</v>
      </c>
      <c r="T102" s="18">
        <f t="shared" si="8"/>
        <v>0.85034013605442171</v>
      </c>
      <c r="U102" s="1" t="str">
        <f t="shared" si="9"/>
        <v>Profitable ✅</v>
      </c>
    </row>
    <row r="103" spans="1:21" x14ac:dyDescent="0.35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  <c r="Q103" s="18">
        <f t="shared" si="5"/>
        <v>0.2711370262390671</v>
      </c>
      <c r="R103" s="18">
        <f t="shared" si="6"/>
        <v>0.02</v>
      </c>
      <c r="S103" s="1" t="str">
        <f t="shared" si="7"/>
        <v>Medium</v>
      </c>
      <c r="T103" s="18">
        <f t="shared" si="8"/>
        <v>0.7288629737609329</v>
      </c>
      <c r="U103" s="1" t="str">
        <f t="shared" si="9"/>
        <v>Profitable ✅</v>
      </c>
    </row>
    <row r="104" spans="1:21" x14ac:dyDescent="0.35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  <c r="Q104" s="18">
        <f t="shared" si="5"/>
        <v>0.24198250728862974</v>
      </c>
      <c r="R104" s="18">
        <f t="shared" si="6"/>
        <v>0.02</v>
      </c>
      <c r="S104" s="1" t="str">
        <f t="shared" si="7"/>
        <v>Enterprise</v>
      </c>
      <c r="T104" s="18">
        <f t="shared" si="8"/>
        <v>0.75801749271137031</v>
      </c>
      <c r="U104" s="1" t="str">
        <f t="shared" si="9"/>
        <v>Profitable ✅</v>
      </c>
    </row>
    <row r="105" spans="1:21" x14ac:dyDescent="0.35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  <c r="Q105" s="18">
        <f t="shared" si="5"/>
        <v>0.74489795918367352</v>
      </c>
      <c r="R105" s="18">
        <f t="shared" si="6"/>
        <v>0.02</v>
      </c>
      <c r="S105" s="1" t="str">
        <f t="shared" si="7"/>
        <v>Medium</v>
      </c>
      <c r="T105" s="18">
        <f t="shared" si="8"/>
        <v>0.25510204081632654</v>
      </c>
      <c r="U105" s="1" t="str">
        <f t="shared" si="9"/>
        <v>Profitable ✅</v>
      </c>
    </row>
    <row r="106" spans="1:21" x14ac:dyDescent="0.35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  <c r="Q106" s="18">
        <f t="shared" si="5"/>
        <v>0.48979591836734693</v>
      </c>
      <c r="R106" s="18">
        <f t="shared" si="6"/>
        <v>0.02</v>
      </c>
      <c r="S106" s="1" t="str">
        <f t="shared" si="7"/>
        <v>Medium</v>
      </c>
      <c r="T106" s="18">
        <f t="shared" si="8"/>
        <v>0.51020408163265307</v>
      </c>
      <c r="U106" s="1" t="str">
        <f t="shared" si="9"/>
        <v>Profitable ✅</v>
      </c>
    </row>
    <row r="107" spans="1:21" x14ac:dyDescent="0.35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  <c r="Q107" s="18">
        <f t="shared" si="5"/>
        <v>0.74489795918367341</v>
      </c>
      <c r="R107" s="18">
        <f t="shared" si="6"/>
        <v>0.02</v>
      </c>
      <c r="S107" s="1" t="str">
        <f t="shared" si="7"/>
        <v>Small</v>
      </c>
      <c r="T107" s="18">
        <f t="shared" si="8"/>
        <v>0.25510204081632654</v>
      </c>
      <c r="U107" s="1" t="str">
        <f t="shared" si="9"/>
        <v>Profitable ✅</v>
      </c>
    </row>
    <row r="108" spans="1:21" x14ac:dyDescent="0.35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  <c r="Q108" s="18">
        <f t="shared" si="5"/>
        <v>2.0408163265306121E-2</v>
      </c>
      <c r="R108" s="18">
        <f t="shared" si="6"/>
        <v>0.02</v>
      </c>
      <c r="S108" s="1" t="str">
        <f t="shared" si="7"/>
        <v>Enterprise</v>
      </c>
      <c r="T108" s="18">
        <f t="shared" si="8"/>
        <v>0.97959183673469385</v>
      </c>
      <c r="U108" s="1" t="str">
        <f t="shared" si="9"/>
        <v>Profitable ✅</v>
      </c>
    </row>
    <row r="109" spans="1:21" x14ac:dyDescent="0.35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  <c r="Q109" s="18">
        <f t="shared" si="5"/>
        <v>0.31972789115646255</v>
      </c>
      <c r="R109" s="18">
        <f t="shared" si="6"/>
        <v>0.02</v>
      </c>
      <c r="S109" s="1" t="str">
        <f t="shared" si="7"/>
        <v>Medium</v>
      </c>
      <c r="T109" s="18">
        <f t="shared" si="8"/>
        <v>0.68027210884353739</v>
      </c>
      <c r="U109" s="1" t="str">
        <f t="shared" si="9"/>
        <v>Profitable ✅</v>
      </c>
    </row>
    <row r="110" spans="1:21" x14ac:dyDescent="0.35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  <c r="Q110" s="18">
        <f t="shared" si="5"/>
        <v>0.14965986394557823</v>
      </c>
      <c r="R110" s="18">
        <f t="shared" si="6"/>
        <v>0.02</v>
      </c>
      <c r="S110" s="1" t="str">
        <f t="shared" si="7"/>
        <v>Enterprise</v>
      </c>
      <c r="T110" s="18">
        <f t="shared" si="8"/>
        <v>0.85034013605442171</v>
      </c>
      <c r="U110" s="1" t="str">
        <f t="shared" si="9"/>
        <v>Profitable ✅</v>
      </c>
    </row>
    <row r="111" spans="1:21" x14ac:dyDescent="0.35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  <c r="Q111" s="18">
        <f t="shared" si="5"/>
        <v>0.14965986394557823</v>
      </c>
      <c r="R111" s="18">
        <f t="shared" si="6"/>
        <v>0.02</v>
      </c>
      <c r="S111" s="1" t="str">
        <f t="shared" si="7"/>
        <v>Enterprise</v>
      </c>
      <c r="T111" s="18">
        <f t="shared" si="8"/>
        <v>0.85034013605442171</v>
      </c>
      <c r="U111" s="1" t="str">
        <f t="shared" si="9"/>
        <v>Profitable ✅</v>
      </c>
    </row>
    <row r="112" spans="1:21" x14ac:dyDescent="0.35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  <c r="Q112" s="18">
        <f t="shared" si="5"/>
        <v>0.74489795918367352</v>
      </c>
      <c r="R112" s="18">
        <f t="shared" si="6"/>
        <v>0.02</v>
      </c>
      <c r="S112" s="1" t="str">
        <f t="shared" si="7"/>
        <v>Medium</v>
      </c>
      <c r="T112" s="18">
        <f t="shared" si="8"/>
        <v>0.25510204081632654</v>
      </c>
      <c r="U112" s="1" t="str">
        <f t="shared" si="9"/>
        <v>Profitable ✅</v>
      </c>
    </row>
    <row r="113" spans="1:21" x14ac:dyDescent="0.35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  <c r="Q113" s="18">
        <f t="shared" si="5"/>
        <v>2.0408163265306121E-2</v>
      </c>
      <c r="R113" s="18">
        <f t="shared" si="6"/>
        <v>0.02</v>
      </c>
      <c r="S113" s="1" t="str">
        <f t="shared" si="7"/>
        <v>Large</v>
      </c>
      <c r="T113" s="18">
        <f t="shared" si="8"/>
        <v>0.97959183673469385</v>
      </c>
      <c r="U113" s="1" t="str">
        <f t="shared" si="9"/>
        <v>Profitable ✅</v>
      </c>
    </row>
    <row r="114" spans="1:21" x14ac:dyDescent="0.35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  <c r="Q114" s="18">
        <f t="shared" si="5"/>
        <v>0.74489795918367352</v>
      </c>
      <c r="R114" s="18">
        <f t="shared" si="6"/>
        <v>0.02</v>
      </c>
      <c r="S114" s="1" t="str">
        <f t="shared" si="7"/>
        <v>Medium</v>
      </c>
      <c r="T114" s="18">
        <f t="shared" si="8"/>
        <v>0.25510204081632654</v>
      </c>
      <c r="U114" s="1" t="str">
        <f t="shared" si="9"/>
        <v>Profitable ✅</v>
      </c>
    </row>
    <row r="115" spans="1:21" x14ac:dyDescent="0.35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  <c r="Q115" s="18">
        <f t="shared" si="5"/>
        <v>2.0408163265306121E-2</v>
      </c>
      <c r="R115" s="18">
        <f t="shared" si="6"/>
        <v>0.02</v>
      </c>
      <c r="S115" s="1" t="str">
        <f t="shared" si="7"/>
        <v>Large</v>
      </c>
      <c r="T115" s="18">
        <f t="shared" si="8"/>
        <v>0.97959183673469385</v>
      </c>
      <c r="U115" s="1" t="str">
        <f t="shared" si="9"/>
        <v>Profitable ✅</v>
      </c>
    </row>
    <row r="116" spans="1:21" x14ac:dyDescent="0.35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  <c r="Q116" s="18">
        <f t="shared" si="5"/>
        <v>2.0408163265306121E-2</v>
      </c>
      <c r="R116" s="18">
        <f t="shared" si="6"/>
        <v>0.02</v>
      </c>
      <c r="S116" s="1" t="str">
        <f t="shared" si="7"/>
        <v>Enterprise</v>
      </c>
      <c r="T116" s="18">
        <f t="shared" si="8"/>
        <v>0.97959183673469385</v>
      </c>
      <c r="U116" s="1" t="str">
        <f t="shared" si="9"/>
        <v>Profitable ✅</v>
      </c>
    </row>
    <row r="117" spans="1:21" x14ac:dyDescent="0.35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  <c r="Q117" s="18">
        <f t="shared" si="5"/>
        <v>0.74489795918367341</v>
      </c>
      <c r="R117" s="18">
        <f t="shared" si="6"/>
        <v>0.02</v>
      </c>
      <c r="S117" s="1" t="str">
        <f t="shared" si="7"/>
        <v>Medium</v>
      </c>
      <c r="T117" s="18">
        <f t="shared" si="8"/>
        <v>0.25510204081632654</v>
      </c>
      <c r="U117" s="1" t="str">
        <f t="shared" si="9"/>
        <v>Profitable ✅</v>
      </c>
    </row>
    <row r="118" spans="1:21" x14ac:dyDescent="0.35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  <c r="Q118" s="18">
        <f t="shared" si="5"/>
        <v>0.14965986394557823</v>
      </c>
      <c r="R118" s="18">
        <f t="shared" si="6"/>
        <v>0.02</v>
      </c>
      <c r="S118" s="1" t="str">
        <f t="shared" si="7"/>
        <v>Enterprise</v>
      </c>
      <c r="T118" s="18">
        <f t="shared" si="8"/>
        <v>0.85034013605442171</v>
      </c>
      <c r="U118" s="1" t="str">
        <f t="shared" si="9"/>
        <v>Profitable ✅</v>
      </c>
    </row>
    <row r="119" spans="1:21" x14ac:dyDescent="0.35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  <c r="Q119" s="18">
        <f t="shared" si="5"/>
        <v>0.24198250728862974</v>
      </c>
      <c r="R119" s="18">
        <f t="shared" si="6"/>
        <v>0.02</v>
      </c>
      <c r="S119" s="1" t="str">
        <f t="shared" si="7"/>
        <v>Enterprise</v>
      </c>
      <c r="T119" s="18">
        <f t="shared" si="8"/>
        <v>0.75801749271137031</v>
      </c>
      <c r="U119" s="1" t="str">
        <f t="shared" si="9"/>
        <v>Profitable ✅</v>
      </c>
    </row>
    <row r="120" spans="1:21" x14ac:dyDescent="0.35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  <c r="Q120" s="18">
        <f t="shared" si="5"/>
        <v>2.0408163265306121E-2</v>
      </c>
      <c r="R120" s="18">
        <f t="shared" si="6"/>
        <v>0.02</v>
      </c>
      <c r="S120" s="1" t="str">
        <f t="shared" si="7"/>
        <v>Enterprise</v>
      </c>
      <c r="T120" s="18">
        <f t="shared" si="8"/>
        <v>0.97959183673469385</v>
      </c>
      <c r="U120" s="1" t="str">
        <f t="shared" si="9"/>
        <v>Profitable ✅</v>
      </c>
    </row>
    <row r="121" spans="1:21" x14ac:dyDescent="0.35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  <c r="Q121" s="18">
        <f t="shared" si="5"/>
        <v>0.31972789115646261</v>
      </c>
      <c r="R121" s="18">
        <f t="shared" si="6"/>
        <v>0.02</v>
      </c>
      <c r="S121" s="1" t="str">
        <f t="shared" si="7"/>
        <v>Medium</v>
      </c>
      <c r="T121" s="18">
        <f t="shared" si="8"/>
        <v>0.68027210884353739</v>
      </c>
      <c r="U121" s="1" t="str">
        <f t="shared" si="9"/>
        <v>Profitable ✅</v>
      </c>
    </row>
    <row r="122" spans="1:21" x14ac:dyDescent="0.35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  <c r="Q122" s="18">
        <f t="shared" si="5"/>
        <v>0.27113702623906705</v>
      </c>
      <c r="R122" s="18">
        <f t="shared" si="6"/>
        <v>0.02</v>
      </c>
      <c r="S122" s="1" t="str">
        <f t="shared" si="7"/>
        <v>Medium</v>
      </c>
      <c r="T122" s="18">
        <f t="shared" si="8"/>
        <v>0.7288629737609329</v>
      </c>
      <c r="U122" s="1" t="str">
        <f t="shared" si="9"/>
        <v>Profitable ✅</v>
      </c>
    </row>
    <row r="123" spans="1:21" x14ac:dyDescent="0.35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  <c r="Q123" s="18">
        <f t="shared" si="5"/>
        <v>0.74489795918367341</v>
      </c>
      <c r="R123" s="18">
        <f t="shared" si="6"/>
        <v>0.02</v>
      </c>
      <c r="S123" s="1" t="str">
        <f t="shared" si="7"/>
        <v>Medium</v>
      </c>
      <c r="T123" s="18">
        <f t="shared" si="8"/>
        <v>0.25510204081632654</v>
      </c>
      <c r="U123" s="1" t="str">
        <f t="shared" si="9"/>
        <v>Profitable ✅</v>
      </c>
    </row>
    <row r="124" spans="1:21" x14ac:dyDescent="0.35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  <c r="Q124" s="18">
        <f t="shared" si="5"/>
        <v>0.74489795918367352</v>
      </c>
      <c r="R124" s="18">
        <f t="shared" si="6"/>
        <v>0.02</v>
      </c>
      <c r="S124" s="1" t="str">
        <f t="shared" si="7"/>
        <v>Medium</v>
      </c>
      <c r="T124" s="18">
        <f t="shared" si="8"/>
        <v>0.25510204081632654</v>
      </c>
      <c r="U124" s="1" t="str">
        <f t="shared" si="9"/>
        <v>Profitable ✅</v>
      </c>
    </row>
    <row r="125" spans="1:21" x14ac:dyDescent="0.35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  <c r="Q125" s="18">
        <f t="shared" si="5"/>
        <v>0.48979591836734693</v>
      </c>
      <c r="R125" s="18">
        <f t="shared" si="6"/>
        <v>0.02</v>
      </c>
      <c r="S125" s="1" t="str">
        <f t="shared" si="7"/>
        <v>Medium</v>
      </c>
      <c r="T125" s="18">
        <f t="shared" si="8"/>
        <v>0.51020408163265307</v>
      </c>
      <c r="U125" s="1" t="str">
        <f t="shared" si="9"/>
        <v>Profitable ✅</v>
      </c>
    </row>
    <row r="126" spans="1:21" x14ac:dyDescent="0.35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  <c r="Q126" s="18">
        <f t="shared" si="5"/>
        <v>0.24198250728862974</v>
      </c>
      <c r="R126" s="18">
        <f t="shared" si="6"/>
        <v>0.02</v>
      </c>
      <c r="S126" s="1" t="str">
        <f t="shared" si="7"/>
        <v>Enterprise</v>
      </c>
      <c r="T126" s="18">
        <f t="shared" si="8"/>
        <v>0.75801749271137031</v>
      </c>
      <c r="U126" s="1" t="str">
        <f t="shared" si="9"/>
        <v>Profitable ✅</v>
      </c>
    </row>
    <row r="127" spans="1:21" x14ac:dyDescent="0.35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  <c r="Q127" s="18">
        <f t="shared" si="5"/>
        <v>0.24198250728862974</v>
      </c>
      <c r="R127" s="18">
        <f t="shared" si="6"/>
        <v>0.02</v>
      </c>
      <c r="S127" s="1" t="str">
        <f t="shared" si="7"/>
        <v>Enterprise</v>
      </c>
      <c r="T127" s="18">
        <f t="shared" si="8"/>
        <v>0.75801749271137031</v>
      </c>
      <c r="U127" s="1" t="str">
        <f t="shared" si="9"/>
        <v>Profitable ✅</v>
      </c>
    </row>
    <row r="128" spans="1:21" x14ac:dyDescent="0.35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  <c r="Q128" s="18">
        <f t="shared" si="5"/>
        <v>2.0408163265306121E-2</v>
      </c>
      <c r="R128" s="18">
        <f t="shared" si="6"/>
        <v>0.02</v>
      </c>
      <c r="S128" s="1" t="str">
        <f t="shared" si="7"/>
        <v>Large</v>
      </c>
      <c r="T128" s="18">
        <f t="shared" si="8"/>
        <v>0.97959183673469385</v>
      </c>
      <c r="U128" s="1" t="str">
        <f t="shared" si="9"/>
        <v>Profitable ✅</v>
      </c>
    </row>
    <row r="129" spans="1:21" x14ac:dyDescent="0.35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  <c r="Q129" s="18">
        <f t="shared" si="5"/>
        <v>2.0408163265306121E-2</v>
      </c>
      <c r="R129" s="18">
        <f t="shared" si="6"/>
        <v>0.02</v>
      </c>
      <c r="S129" s="1" t="str">
        <f t="shared" si="7"/>
        <v>Enterprise</v>
      </c>
      <c r="T129" s="18">
        <f t="shared" si="8"/>
        <v>0.97959183673469385</v>
      </c>
      <c r="U129" s="1" t="str">
        <f t="shared" si="9"/>
        <v>Profitable ✅</v>
      </c>
    </row>
    <row r="130" spans="1:21" x14ac:dyDescent="0.35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  <c r="Q130" s="18">
        <f t="shared" ref="Q130:Q193" si="10">IF(J130=0,0,L130/J130)</f>
        <v>0.74489795918367341</v>
      </c>
      <c r="R130" s="18">
        <f t="shared" ref="R130:R193" si="11">IF(H130=0,0, I130/H130)</f>
        <v>0.02</v>
      </c>
      <c r="S130" s="1" t="str">
        <f t="shared" ref="S130:S193" si="12">IF(J130&lt;10000,"Small",IF(J130&lt;50000,"Medium",IF(J130&lt;200000,"Large","Enterprise")))</f>
        <v>Medium</v>
      </c>
      <c r="T130" s="18">
        <f t="shared" ref="T130:T193" si="13">IF(J130=0,0,K130/J130)</f>
        <v>0.25510204081632654</v>
      </c>
      <c r="U130" s="1" t="str">
        <f t="shared" ref="U130:U193" si="14">IFERROR(IF(L130&gt;0,"Profitable ✅",IF(L130=0,"Breakeven ⚖️","Loss ❌")),"Check Data 📊")</f>
        <v>Profitable ✅</v>
      </c>
    </row>
    <row r="131" spans="1:21" x14ac:dyDescent="0.35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  <c r="Q131" s="18">
        <f t="shared" si="10"/>
        <v>0.48979591836734693</v>
      </c>
      <c r="R131" s="18">
        <f t="shared" si="11"/>
        <v>0.02</v>
      </c>
      <c r="S131" s="1" t="str">
        <f t="shared" si="12"/>
        <v>Medium</v>
      </c>
      <c r="T131" s="18">
        <f t="shared" si="13"/>
        <v>0.51020408163265307</v>
      </c>
      <c r="U131" s="1" t="str">
        <f t="shared" si="14"/>
        <v>Profitable ✅</v>
      </c>
    </row>
    <row r="132" spans="1:21" x14ac:dyDescent="0.35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  <c r="Q132" s="18">
        <f t="shared" si="10"/>
        <v>0.74489795918367352</v>
      </c>
      <c r="R132" s="18">
        <f t="shared" si="11"/>
        <v>0.02</v>
      </c>
      <c r="S132" s="1" t="str">
        <f t="shared" si="12"/>
        <v>Medium</v>
      </c>
      <c r="T132" s="18">
        <f t="shared" si="13"/>
        <v>0.25510204081632654</v>
      </c>
      <c r="U132" s="1" t="str">
        <f t="shared" si="14"/>
        <v>Profitable ✅</v>
      </c>
    </row>
    <row r="133" spans="1:21" x14ac:dyDescent="0.35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  <c r="Q133" s="18">
        <f t="shared" si="10"/>
        <v>2.0408163265306121E-2</v>
      </c>
      <c r="R133" s="18">
        <f t="shared" si="11"/>
        <v>0.02</v>
      </c>
      <c r="S133" s="1" t="str">
        <f t="shared" si="12"/>
        <v>Large</v>
      </c>
      <c r="T133" s="18">
        <f t="shared" si="13"/>
        <v>0.97959183673469385</v>
      </c>
      <c r="U133" s="1" t="str">
        <f t="shared" si="14"/>
        <v>Profitable ✅</v>
      </c>
    </row>
    <row r="134" spans="1:21" x14ac:dyDescent="0.35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  <c r="Q134" s="18">
        <f t="shared" si="10"/>
        <v>0.14965986394557823</v>
      </c>
      <c r="R134" s="18">
        <f t="shared" si="11"/>
        <v>0.02</v>
      </c>
      <c r="S134" s="1" t="str">
        <f t="shared" si="12"/>
        <v>Large</v>
      </c>
      <c r="T134" s="18">
        <f t="shared" si="13"/>
        <v>0.85034013605442171</v>
      </c>
      <c r="U134" s="1" t="str">
        <f t="shared" si="14"/>
        <v>Profitable ✅</v>
      </c>
    </row>
    <row r="135" spans="1:21" x14ac:dyDescent="0.35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  <c r="Q135" s="18">
        <f t="shared" si="10"/>
        <v>0.24198250728862974</v>
      </c>
      <c r="R135" s="18">
        <f t="shared" si="11"/>
        <v>0.02</v>
      </c>
      <c r="S135" s="1" t="str">
        <f t="shared" si="12"/>
        <v>Enterprise</v>
      </c>
      <c r="T135" s="18">
        <f t="shared" si="13"/>
        <v>0.75801749271137031</v>
      </c>
      <c r="U135" s="1" t="str">
        <f t="shared" si="14"/>
        <v>Profitable ✅</v>
      </c>
    </row>
    <row r="136" spans="1:21" x14ac:dyDescent="0.35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  <c r="Q136" s="18">
        <f t="shared" si="10"/>
        <v>2.0408163265306121E-2</v>
      </c>
      <c r="R136" s="18">
        <f t="shared" si="11"/>
        <v>0.02</v>
      </c>
      <c r="S136" s="1" t="str">
        <f t="shared" si="12"/>
        <v>Enterprise</v>
      </c>
      <c r="T136" s="18">
        <f t="shared" si="13"/>
        <v>0.97959183673469385</v>
      </c>
      <c r="U136" s="1" t="str">
        <f t="shared" si="14"/>
        <v>Profitable ✅</v>
      </c>
    </row>
    <row r="137" spans="1:21" x14ac:dyDescent="0.35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  <c r="Q137" s="18">
        <f t="shared" si="10"/>
        <v>0.24198250728862974</v>
      </c>
      <c r="R137" s="18">
        <f t="shared" si="11"/>
        <v>0.02</v>
      </c>
      <c r="S137" s="1" t="str">
        <f t="shared" si="12"/>
        <v>Large</v>
      </c>
      <c r="T137" s="18">
        <f t="shared" si="13"/>
        <v>0.75801749271137031</v>
      </c>
      <c r="U137" s="1" t="str">
        <f t="shared" si="14"/>
        <v>Profitable ✅</v>
      </c>
    </row>
    <row r="138" spans="1:21" x14ac:dyDescent="0.35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  <c r="Q138" s="18">
        <f t="shared" si="10"/>
        <v>0.24198250728862974</v>
      </c>
      <c r="R138" s="18">
        <f t="shared" si="11"/>
        <v>0.02</v>
      </c>
      <c r="S138" s="1" t="str">
        <f t="shared" si="12"/>
        <v>Enterprise</v>
      </c>
      <c r="T138" s="18">
        <f t="shared" si="13"/>
        <v>0.75801749271137031</v>
      </c>
      <c r="U138" s="1" t="str">
        <f t="shared" si="14"/>
        <v>Profitable ✅</v>
      </c>
    </row>
    <row r="139" spans="1:21" x14ac:dyDescent="0.35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  <c r="Q139" s="18">
        <f t="shared" si="10"/>
        <v>0.14965986394557823</v>
      </c>
      <c r="R139" s="18">
        <f t="shared" si="11"/>
        <v>0.02</v>
      </c>
      <c r="S139" s="1" t="str">
        <f t="shared" si="12"/>
        <v>Large</v>
      </c>
      <c r="T139" s="18">
        <f t="shared" si="13"/>
        <v>0.85034013605442171</v>
      </c>
      <c r="U139" s="1" t="str">
        <f t="shared" si="14"/>
        <v>Profitable ✅</v>
      </c>
    </row>
    <row r="140" spans="1:21" x14ac:dyDescent="0.35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  <c r="Q140" s="18">
        <f t="shared" si="10"/>
        <v>0.14965986394557823</v>
      </c>
      <c r="R140" s="18">
        <f t="shared" si="11"/>
        <v>0.02</v>
      </c>
      <c r="S140" s="1" t="str">
        <f t="shared" si="12"/>
        <v>Enterprise</v>
      </c>
      <c r="T140" s="18">
        <f t="shared" si="13"/>
        <v>0.85034013605442171</v>
      </c>
      <c r="U140" s="1" t="str">
        <f t="shared" si="14"/>
        <v>Profitable ✅</v>
      </c>
    </row>
    <row r="141" spans="1:21" x14ac:dyDescent="0.35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  <c r="Q141" s="18">
        <f t="shared" si="10"/>
        <v>2.0408163265306121E-2</v>
      </c>
      <c r="R141" s="18">
        <f t="shared" si="11"/>
        <v>0.02</v>
      </c>
      <c r="S141" s="1" t="str">
        <f t="shared" si="12"/>
        <v>Enterprise</v>
      </c>
      <c r="T141" s="18">
        <f t="shared" si="13"/>
        <v>0.97959183673469385</v>
      </c>
      <c r="U141" s="1" t="str">
        <f t="shared" si="14"/>
        <v>Profitable ✅</v>
      </c>
    </row>
    <row r="142" spans="1:21" x14ac:dyDescent="0.35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  <c r="Q142" s="18">
        <f t="shared" si="10"/>
        <v>0.24198250728862974</v>
      </c>
      <c r="R142" s="18">
        <f t="shared" si="11"/>
        <v>0.02</v>
      </c>
      <c r="S142" s="1" t="str">
        <f t="shared" si="12"/>
        <v>Enterprise</v>
      </c>
      <c r="T142" s="18">
        <f t="shared" si="13"/>
        <v>0.75801749271137031</v>
      </c>
      <c r="U142" s="1" t="str">
        <f t="shared" si="14"/>
        <v>Profitable ✅</v>
      </c>
    </row>
    <row r="143" spans="1:21" x14ac:dyDescent="0.35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  <c r="Q143" s="18">
        <f t="shared" si="10"/>
        <v>0.48979591836734693</v>
      </c>
      <c r="R143" s="18">
        <f t="shared" si="11"/>
        <v>0.02</v>
      </c>
      <c r="S143" s="1" t="str">
        <f t="shared" si="12"/>
        <v>Medium</v>
      </c>
      <c r="T143" s="18">
        <f t="shared" si="13"/>
        <v>0.51020408163265307</v>
      </c>
      <c r="U143" s="1" t="str">
        <f t="shared" si="14"/>
        <v>Profitable ✅</v>
      </c>
    </row>
    <row r="144" spans="1:21" x14ac:dyDescent="0.35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  <c r="Q144" s="18">
        <f t="shared" si="10"/>
        <v>0.48979591836734687</v>
      </c>
      <c r="R144" s="18">
        <f t="shared" si="11"/>
        <v>0.02</v>
      </c>
      <c r="S144" s="1" t="str">
        <f t="shared" si="12"/>
        <v>Medium</v>
      </c>
      <c r="T144" s="18">
        <f t="shared" si="13"/>
        <v>0.51020408163265307</v>
      </c>
      <c r="U144" s="1" t="str">
        <f t="shared" si="14"/>
        <v>Profitable ✅</v>
      </c>
    </row>
    <row r="145" spans="1:21" x14ac:dyDescent="0.35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  <c r="Q145" s="18">
        <f t="shared" si="10"/>
        <v>0.14965986394557823</v>
      </c>
      <c r="R145" s="18">
        <f t="shared" si="11"/>
        <v>0.02</v>
      </c>
      <c r="S145" s="1" t="str">
        <f t="shared" si="12"/>
        <v>Enterprise</v>
      </c>
      <c r="T145" s="18">
        <f t="shared" si="13"/>
        <v>0.85034013605442171</v>
      </c>
      <c r="U145" s="1" t="str">
        <f t="shared" si="14"/>
        <v>Profitable ✅</v>
      </c>
    </row>
    <row r="146" spans="1:21" x14ac:dyDescent="0.35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  <c r="Q146" s="18">
        <f t="shared" si="10"/>
        <v>1.0309278350515464E-2</v>
      </c>
      <c r="R146" s="18">
        <f t="shared" si="11"/>
        <v>0.03</v>
      </c>
      <c r="S146" s="1" t="str">
        <f t="shared" si="12"/>
        <v>Enterprise</v>
      </c>
      <c r="T146" s="18">
        <f t="shared" si="13"/>
        <v>0.98969072164948457</v>
      </c>
      <c r="U146" s="1" t="str">
        <f t="shared" si="14"/>
        <v>Profitable ✅</v>
      </c>
    </row>
    <row r="147" spans="1:21" x14ac:dyDescent="0.35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  <c r="Q147" s="18">
        <f t="shared" si="10"/>
        <v>0.4845360824742268</v>
      </c>
      <c r="R147" s="18">
        <f t="shared" si="11"/>
        <v>0.03</v>
      </c>
      <c r="S147" s="1" t="str">
        <f t="shared" si="12"/>
        <v>Large</v>
      </c>
      <c r="T147" s="18">
        <f t="shared" si="13"/>
        <v>0.51546391752577314</v>
      </c>
      <c r="U147" s="1" t="str">
        <f t="shared" si="14"/>
        <v>Profitable ✅</v>
      </c>
    </row>
    <row r="148" spans="1:21" x14ac:dyDescent="0.35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  <c r="Q148" s="18">
        <f t="shared" si="10"/>
        <v>0.14089347079037801</v>
      </c>
      <c r="R148" s="18">
        <f t="shared" si="11"/>
        <v>0.03</v>
      </c>
      <c r="S148" s="1" t="str">
        <f t="shared" si="12"/>
        <v>Enterprise</v>
      </c>
      <c r="T148" s="18">
        <f t="shared" si="13"/>
        <v>0.85910652920962194</v>
      </c>
      <c r="U148" s="1" t="str">
        <f t="shared" si="14"/>
        <v>Profitable ✅</v>
      </c>
    </row>
    <row r="149" spans="1:21" x14ac:dyDescent="0.35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  <c r="Q149" s="18">
        <f t="shared" si="10"/>
        <v>0.74226804123711343</v>
      </c>
      <c r="R149" s="18">
        <f t="shared" si="11"/>
        <v>0.03</v>
      </c>
      <c r="S149" s="1" t="str">
        <f t="shared" si="12"/>
        <v>Medium</v>
      </c>
      <c r="T149" s="18">
        <f t="shared" si="13"/>
        <v>0.25773195876288657</v>
      </c>
      <c r="U149" s="1" t="str">
        <f t="shared" si="14"/>
        <v>Profitable ✅</v>
      </c>
    </row>
    <row r="150" spans="1:21" x14ac:dyDescent="0.35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  <c r="Q150" s="18">
        <f t="shared" si="10"/>
        <v>0.74226804123711343</v>
      </c>
      <c r="R150" s="18">
        <f t="shared" si="11"/>
        <v>0.03</v>
      </c>
      <c r="S150" s="1" t="str">
        <f t="shared" si="12"/>
        <v>Medium</v>
      </c>
      <c r="T150" s="18">
        <f t="shared" si="13"/>
        <v>0.25773195876288657</v>
      </c>
      <c r="U150" s="1" t="str">
        <f t="shared" si="14"/>
        <v>Profitable ✅</v>
      </c>
    </row>
    <row r="151" spans="1:21" x14ac:dyDescent="0.35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  <c r="Q151" s="18">
        <f t="shared" si="10"/>
        <v>0.26362297496318116</v>
      </c>
      <c r="R151" s="18">
        <f t="shared" si="11"/>
        <v>0.03</v>
      </c>
      <c r="S151" s="1" t="str">
        <f t="shared" si="12"/>
        <v>Medium</v>
      </c>
      <c r="T151" s="18">
        <f t="shared" si="13"/>
        <v>0.7363770250368189</v>
      </c>
      <c r="U151" s="1" t="str">
        <f t="shared" si="14"/>
        <v>Profitable ✅</v>
      </c>
    </row>
    <row r="152" spans="1:21" x14ac:dyDescent="0.35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  <c r="Q152" s="18">
        <f t="shared" si="10"/>
        <v>0.74226804123711343</v>
      </c>
      <c r="R152" s="18">
        <f t="shared" si="11"/>
        <v>0.03</v>
      </c>
      <c r="S152" s="1" t="str">
        <f t="shared" si="12"/>
        <v>Medium</v>
      </c>
      <c r="T152" s="18">
        <f t="shared" si="13"/>
        <v>0.25773195876288663</v>
      </c>
      <c r="U152" s="1" t="str">
        <f t="shared" si="14"/>
        <v>Profitable ✅</v>
      </c>
    </row>
    <row r="153" spans="1:21" x14ac:dyDescent="0.35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  <c r="Q153" s="18">
        <f t="shared" si="10"/>
        <v>0.26362297496318121</v>
      </c>
      <c r="R153" s="18">
        <f t="shared" si="11"/>
        <v>0.03</v>
      </c>
      <c r="S153" s="1" t="str">
        <f t="shared" si="12"/>
        <v>Small</v>
      </c>
      <c r="T153" s="18">
        <f t="shared" si="13"/>
        <v>0.73637702503681879</v>
      </c>
      <c r="U153" s="1" t="str">
        <f t="shared" si="14"/>
        <v>Profitable ✅</v>
      </c>
    </row>
    <row r="154" spans="1:21" x14ac:dyDescent="0.35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  <c r="Q154" s="18">
        <f t="shared" si="10"/>
        <v>0.2341678939617084</v>
      </c>
      <c r="R154" s="18">
        <f t="shared" si="11"/>
        <v>0.03</v>
      </c>
      <c r="S154" s="1" t="str">
        <f t="shared" si="12"/>
        <v>Enterprise</v>
      </c>
      <c r="T154" s="18">
        <f t="shared" si="13"/>
        <v>0.76583210603829166</v>
      </c>
      <c r="U154" s="1" t="str">
        <f t="shared" si="14"/>
        <v>Profitable ✅</v>
      </c>
    </row>
    <row r="155" spans="1:21" x14ac:dyDescent="0.35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  <c r="Q155" s="18">
        <f t="shared" si="10"/>
        <v>1.0309278350515464E-2</v>
      </c>
      <c r="R155" s="18">
        <f t="shared" si="11"/>
        <v>0.03</v>
      </c>
      <c r="S155" s="1" t="str">
        <f t="shared" si="12"/>
        <v>Large</v>
      </c>
      <c r="T155" s="18">
        <f t="shared" si="13"/>
        <v>0.98969072164948457</v>
      </c>
      <c r="U155" s="1" t="str">
        <f t="shared" si="14"/>
        <v>Profitable ✅</v>
      </c>
    </row>
    <row r="156" spans="1:21" x14ac:dyDescent="0.35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  <c r="Q156" s="18">
        <f t="shared" si="10"/>
        <v>1.0309278350515464E-2</v>
      </c>
      <c r="R156" s="18">
        <f t="shared" si="11"/>
        <v>0.03</v>
      </c>
      <c r="S156" s="1" t="str">
        <f t="shared" si="12"/>
        <v>Enterprise</v>
      </c>
      <c r="T156" s="18">
        <f t="shared" si="13"/>
        <v>0.98969072164948457</v>
      </c>
      <c r="U156" s="1" t="str">
        <f t="shared" si="14"/>
        <v>Profitable ✅</v>
      </c>
    </row>
    <row r="157" spans="1:21" x14ac:dyDescent="0.35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  <c r="Q157" s="18">
        <f t="shared" si="10"/>
        <v>0.14089347079037801</v>
      </c>
      <c r="R157" s="18">
        <f t="shared" si="11"/>
        <v>0.03</v>
      </c>
      <c r="S157" s="1" t="str">
        <f t="shared" si="12"/>
        <v>Enterprise</v>
      </c>
      <c r="T157" s="18">
        <f t="shared" si="13"/>
        <v>0.85910652920962194</v>
      </c>
      <c r="U157" s="1" t="str">
        <f t="shared" si="14"/>
        <v>Profitable ✅</v>
      </c>
    </row>
    <row r="158" spans="1:21" x14ac:dyDescent="0.35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  <c r="Q158" s="18">
        <f t="shared" si="10"/>
        <v>1.0309278350515464E-2</v>
      </c>
      <c r="R158" s="18">
        <f t="shared" si="11"/>
        <v>0.03</v>
      </c>
      <c r="S158" s="1" t="str">
        <f t="shared" si="12"/>
        <v>Enterprise</v>
      </c>
      <c r="T158" s="18">
        <f t="shared" si="13"/>
        <v>0.98969072164948457</v>
      </c>
      <c r="U158" s="1" t="str">
        <f t="shared" si="14"/>
        <v>Profitable ✅</v>
      </c>
    </row>
    <row r="159" spans="1:21" x14ac:dyDescent="0.35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  <c r="Q159" s="18">
        <f t="shared" si="10"/>
        <v>0.74226804123711343</v>
      </c>
      <c r="R159" s="18">
        <f t="shared" si="11"/>
        <v>0.03</v>
      </c>
      <c r="S159" s="1" t="str">
        <f t="shared" si="12"/>
        <v>Medium</v>
      </c>
      <c r="T159" s="18">
        <f t="shared" si="13"/>
        <v>0.25773195876288663</v>
      </c>
      <c r="U159" s="1" t="str">
        <f t="shared" si="14"/>
        <v>Profitable ✅</v>
      </c>
    </row>
    <row r="160" spans="1:21" x14ac:dyDescent="0.35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  <c r="Q160" s="18">
        <f t="shared" si="10"/>
        <v>0.14089347079037801</v>
      </c>
      <c r="R160" s="18">
        <f t="shared" si="11"/>
        <v>0.03</v>
      </c>
      <c r="S160" s="1" t="str">
        <f t="shared" si="12"/>
        <v>Enterprise</v>
      </c>
      <c r="T160" s="18">
        <f t="shared" si="13"/>
        <v>0.85910652920962194</v>
      </c>
      <c r="U160" s="1" t="str">
        <f t="shared" si="14"/>
        <v>Profitable ✅</v>
      </c>
    </row>
    <row r="161" spans="1:21" x14ac:dyDescent="0.35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  <c r="Q161" s="18">
        <f t="shared" si="10"/>
        <v>1.0309278350515464E-2</v>
      </c>
      <c r="R161" s="18">
        <f t="shared" si="11"/>
        <v>0.03</v>
      </c>
      <c r="S161" s="1" t="str">
        <f t="shared" si="12"/>
        <v>Large</v>
      </c>
      <c r="T161" s="18">
        <f t="shared" si="13"/>
        <v>0.98969072164948457</v>
      </c>
      <c r="U161" s="1" t="str">
        <f t="shared" si="14"/>
        <v>Profitable ✅</v>
      </c>
    </row>
    <row r="162" spans="1:21" x14ac:dyDescent="0.35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  <c r="Q162" s="18">
        <f t="shared" si="10"/>
        <v>0.74226804123711343</v>
      </c>
      <c r="R162" s="18">
        <f t="shared" si="11"/>
        <v>0.03</v>
      </c>
      <c r="S162" s="1" t="str">
        <f t="shared" si="12"/>
        <v>Medium</v>
      </c>
      <c r="T162" s="18">
        <f t="shared" si="13"/>
        <v>0.25773195876288663</v>
      </c>
      <c r="U162" s="1" t="str">
        <f t="shared" si="14"/>
        <v>Profitable ✅</v>
      </c>
    </row>
    <row r="163" spans="1:21" x14ac:dyDescent="0.35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  <c r="Q163" s="18">
        <f t="shared" si="10"/>
        <v>1.0309278350515464E-2</v>
      </c>
      <c r="R163" s="18">
        <f t="shared" si="11"/>
        <v>0.03</v>
      </c>
      <c r="S163" s="1" t="str">
        <f t="shared" si="12"/>
        <v>Enterprise</v>
      </c>
      <c r="T163" s="18">
        <f t="shared" si="13"/>
        <v>0.98969072164948457</v>
      </c>
      <c r="U163" s="1" t="str">
        <f t="shared" si="14"/>
        <v>Profitable ✅</v>
      </c>
    </row>
    <row r="164" spans="1:21" x14ac:dyDescent="0.35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  <c r="Q164" s="18">
        <f t="shared" si="10"/>
        <v>0.3127147766323024</v>
      </c>
      <c r="R164" s="18">
        <f t="shared" si="11"/>
        <v>0.03</v>
      </c>
      <c r="S164" s="1" t="str">
        <f t="shared" si="12"/>
        <v>Medium</v>
      </c>
      <c r="T164" s="18">
        <f t="shared" si="13"/>
        <v>0.6872852233676976</v>
      </c>
      <c r="U164" s="1" t="str">
        <f t="shared" si="14"/>
        <v>Profitable ✅</v>
      </c>
    </row>
    <row r="165" spans="1:21" x14ac:dyDescent="0.35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  <c r="Q165" s="18">
        <f t="shared" si="10"/>
        <v>1.0309278350515464E-2</v>
      </c>
      <c r="R165" s="18">
        <f t="shared" si="11"/>
        <v>0.03</v>
      </c>
      <c r="S165" s="1" t="str">
        <f t="shared" si="12"/>
        <v>Large</v>
      </c>
      <c r="T165" s="18">
        <f t="shared" si="13"/>
        <v>0.98969072164948457</v>
      </c>
      <c r="U165" s="1" t="str">
        <f t="shared" si="14"/>
        <v>Profitable ✅</v>
      </c>
    </row>
    <row r="166" spans="1:21" x14ac:dyDescent="0.35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  <c r="Q166" s="18">
        <f t="shared" si="10"/>
        <v>1.0309278350515464E-2</v>
      </c>
      <c r="R166" s="18">
        <f t="shared" si="11"/>
        <v>0.03</v>
      </c>
      <c r="S166" s="1" t="str">
        <f t="shared" si="12"/>
        <v>Enterprise</v>
      </c>
      <c r="T166" s="18">
        <f t="shared" si="13"/>
        <v>0.98969072164948457</v>
      </c>
      <c r="U166" s="1" t="str">
        <f t="shared" si="14"/>
        <v>Profitable ✅</v>
      </c>
    </row>
    <row r="167" spans="1:21" x14ac:dyDescent="0.35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  <c r="Q167" s="18">
        <f t="shared" si="10"/>
        <v>1.0309278350515464E-2</v>
      </c>
      <c r="R167" s="18">
        <f t="shared" si="11"/>
        <v>0.03</v>
      </c>
      <c r="S167" s="1" t="str">
        <f t="shared" si="12"/>
        <v>Enterprise</v>
      </c>
      <c r="T167" s="18">
        <f t="shared" si="13"/>
        <v>0.98969072164948457</v>
      </c>
      <c r="U167" s="1" t="str">
        <f t="shared" si="14"/>
        <v>Profitable ✅</v>
      </c>
    </row>
    <row r="168" spans="1:21" x14ac:dyDescent="0.35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  <c r="Q168" s="18">
        <f t="shared" si="10"/>
        <v>0.14089347079037801</v>
      </c>
      <c r="R168" s="18">
        <f t="shared" si="11"/>
        <v>0.03</v>
      </c>
      <c r="S168" s="1" t="str">
        <f t="shared" si="12"/>
        <v>Enterprise</v>
      </c>
      <c r="T168" s="18">
        <f t="shared" si="13"/>
        <v>0.85910652920962194</v>
      </c>
      <c r="U168" s="1" t="str">
        <f t="shared" si="14"/>
        <v>Profitable ✅</v>
      </c>
    </row>
    <row r="169" spans="1:21" x14ac:dyDescent="0.35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  <c r="Q169" s="18">
        <f t="shared" si="10"/>
        <v>0.74226804123711343</v>
      </c>
      <c r="R169" s="18">
        <f t="shared" si="11"/>
        <v>0.03</v>
      </c>
      <c r="S169" s="1" t="str">
        <f t="shared" si="12"/>
        <v>Medium</v>
      </c>
      <c r="T169" s="18">
        <f t="shared" si="13"/>
        <v>0.25773195876288657</v>
      </c>
      <c r="U169" s="1" t="str">
        <f t="shared" si="14"/>
        <v>Profitable ✅</v>
      </c>
    </row>
    <row r="170" spans="1:21" x14ac:dyDescent="0.35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  <c r="Q170" s="18">
        <f t="shared" si="10"/>
        <v>1.0309278350515464E-2</v>
      </c>
      <c r="R170" s="18">
        <f t="shared" si="11"/>
        <v>0.03</v>
      </c>
      <c r="S170" s="1" t="str">
        <f t="shared" si="12"/>
        <v>Large</v>
      </c>
      <c r="T170" s="18">
        <f t="shared" si="13"/>
        <v>0.98969072164948457</v>
      </c>
      <c r="U170" s="1" t="str">
        <f t="shared" si="14"/>
        <v>Profitable ✅</v>
      </c>
    </row>
    <row r="171" spans="1:21" x14ac:dyDescent="0.35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  <c r="Q171" s="18">
        <f t="shared" si="10"/>
        <v>0.14089347079037801</v>
      </c>
      <c r="R171" s="18">
        <f t="shared" si="11"/>
        <v>0.03</v>
      </c>
      <c r="S171" s="1" t="str">
        <f t="shared" si="12"/>
        <v>Enterprise</v>
      </c>
      <c r="T171" s="18">
        <f t="shared" si="13"/>
        <v>0.85910652920962194</v>
      </c>
      <c r="U171" s="1" t="str">
        <f t="shared" si="14"/>
        <v>Profitable ✅</v>
      </c>
    </row>
    <row r="172" spans="1:21" x14ac:dyDescent="0.35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  <c r="Q172" s="18">
        <f t="shared" si="10"/>
        <v>0.2341678939617084</v>
      </c>
      <c r="R172" s="18">
        <f t="shared" si="11"/>
        <v>0.03</v>
      </c>
      <c r="S172" s="1" t="str">
        <f t="shared" si="12"/>
        <v>Enterprise</v>
      </c>
      <c r="T172" s="18">
        <f t="shared" si="13"/>
        <v>0.76583210603829166</v>
      </c>
      <c r="U172" s="1" t="str">
        <f t="shared" si="14"/>
        <v>Profitable ✅</v>
      </c>
    </row>
    <row r="173" spans="1:21" x14ac:dyDescent="0.35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  <c r="Q173" s="18">
        <f t="shared" si="10"/>
        <v>0.3127147766323024</v>
      </c>
      <c r="R173" s="18">
        <f t="shared" si="11"/>
        <v>0.03</v>
      </c>
      <c r="S173" s="1" t="str">
        <f t="shared" si="12"/>
        <v>Medium</v>
      </c>
      <c r="T173" s="18">
        <f t="shared" si="13"/>
        <v>0.6872852233676976</v>
      </c>
      <c r="U173" s="1" t="str">
        <f t="shared" si="14"/>
        <v>Profitable ✅</v>
      </c>
    </row>
    <row r="174" spans="1:21" x14ac:dyDescent="0.35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  <c r="Q174" s="18">
        <f t="shared" si="10"/>
        <v>0.4845360824742268</v>
      </c>
      <c r="R174" s="18">
        <f t="shared" si="11"/>
        <v>3.0000000000000002E-2</v>
      </c>
      <c r="S174" s="1" t="str">
        <f t="shared" si="12"/>
        <v>Medium</v>
      </c>
      <c r="T174" s="18">
        <f t="shared" si="13"/>
        <v>0.51546391752577325</v>
      </c>
      <c r="U174" s="1" t="str">
        <f t="shared" si="14"/>
        <v>Profitable ✅</v>
      </c>
    </row>
    <row r="175" spans="1:21" x14ac:dyDescent="0.35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  <c r="Q175" s="18">
        <f t="shared" si="10"/>
        <v>0.2636229749631811</v>
      </c>
      <c r="R175" s="18">
        <f t="shared" si="11"/>
        <v>3.0000000000000002E-2</v>
      </c>
      <c r="S175" s="1" t="str">
        <f t="shared" si="12"/>
        <v>Medium</v>
      </c>
      <c r="T175" s="18">
        <f t="shared" si="13"/>
        <v>0.7363770250368189</v>
      </c>
      <c r="U175" s="1" t="str">
        <f t="shared" si="14"/>
        <v>Profitable ✅</v>
      </c>
    </row>
    <row r="176" spans="1:21" x14ac:dyDescent="0.35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  <c r="Q176" s="18">
        <f t="shared" si="10"/>
        <v>0.4845360824742268</v>
      </c>
      <c r="R176" s="18">
        <f t="shared" si="11"/>
        <v>3.0000000000000002E-2</v>
      </c>
      <c r="S176" s="1" t="str">
        <f t="shared" si="12"/>
        <v>Large</v>
      </c>
      <c r="T176" s="18">
        <f t="shared" si="13"/>
        <v>0.51546391752577314</v>
      </c>
      <c r="U176" s="1" t="str">
        <f t="shared" si="14"/>
        <v>Profitable ✅</v>
      </c>
    </row>
    <row r="177" spans="1:21" x14ac:dyDescent="0.35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  <c r="Q177" s="18">
        <f t="shared" si="10"/>
        <v>0.74226804123711343</v>
      </c>
      <c r="R177" s="18">
        <f t="shared" si="11"/>
        <v>3.0000000000000002E-2</v>
      </c>
      <c r="S177" s="1" t="str">
        <f t="shared" si="12"/>
        <v>Medium</v>
      </c>
      <c r="T177" s="18">
        <f t="shared" si="13"/>
        <v>0.25773195876288657</v>
      </c>
      <c r="U177" s="1" t="str">
        <f t="shared" si="14"/>
        <v>Profitable ✅</v>
      </c>
    </row>
    <row r="178" spans="1:21" x14ac:dyDescent="0.35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  <c r="Q178" s="18">
        <f t="shared" si="10"/>
        <v>0.30555555555555558</v>
      </c>
      <c r="R178" s="18">
        <f t="shared" si="11"/>
        <v>3.9999999999999994E-2</v>
      </c>
      <c r="S178" s="1" t="str">
        <f t="shared" si="12"/>
        <v>Medium</v>
      </c>
      <c r="T178" s="18">
        <f t="shared" si="13"/>
        <v>0.69444444444444442</v>
      </c>
      <c r="U178" s="1" t="str">
        <f t="shared" si="14"/>
        <v>Profitable ✅</v>
      </c>
    </row>
    <row r="179" spans="1:21" x14ac:dyDescent="0.35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  <c r="Q179" s="18">
        <f t="shared" si="10"/>
        <v>0.30555555555555558</v>
      </c>
      <c r="R179" s="18">
        <f t="shared" si="11"/>
        <v>3.9999999999999994E-2</v>
      </c>
      <c r="S179" s="1" t="str">
        <f t="shared" si="12"/>
        <v>Medium</v>
      </c>
      <c r="T179" s="18">
        <f t="shared" si="13"/>
        <v>0.69444444444444442</v>
      </c>
      <c r="U179" s="1" t="str">
        <f t="shared" si="14"/>
        <v>Profitable ✅</v>
      </c>
    </row>
    <row r="180" spans="1:21" x14ac:dyDescent="0.35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  <c r="Q180" s="18">
        <f t="shared" si="10"/>
        <v>0.30555555555555558</v>
      </c>
      <c r="R180" s="18">
        <f t="shared" si="11"/>
        <v>3.9999999999999994E-2</v>
      </c>
      <c r="S180" s="1" t="str">
        <f t="shared" si="12"/>
        <v>Medium</v>
      </c>
      <c r="T180" s="18">
        <f t="shared" si="13"/>
        <v>0.69444444444444442</v>
      </c>
      <c r="U180" s="1" t="str">
        <f t="shared" si="14"/>
        <v>Profitable ✅</v>
      </c>
    </row>
    <row r="181" spans="1:21" x14ac:dyDescent="0.35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  <c r="Q181" s="18">
        <f t="shared" si="10"/>
        <v>0.47916666666666669</v>
      </c>
      <c r="R181" s="18">
        <f t="shared" si="11"/>
        <v>3.9999999999999994E-2</v>
      </c>
      <c r="S181" s="1" t="str">
        <f t="shared" si="12"/>
        <v>Medium</v>
      </c>
      <c r="T181" s="18">
        <f t="shared" si="13"/>
        <v>0.52083333333333326</v>
      </c>
      <c r="U181" s="1" t="str">
        <f t="shared" si="14"/>
        <v>Profitable ✅</v>
      </c>
    </row>
    <row r="182" spans="1:21" x14ac:dyDescent="0.35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  <c r="Q182" s="18">
        <f t="shared" si="10"/>
        <v>0.25595238095238099</v>
      </c>
      <c r="R182" s="18">
        <f t="shared" si="11"/>
        <v>0.04</v>
      </c>
      <c r="S182" s="1" t="str">
        <f t="shared" si="12"/>
        <v>Medium</v>
      </c>
      <c r="T182" s="18">
        <f t="shared" si="13"/>
        <v>0.74404761904761896</v>
      </c>
      <c r="U182" s="1" t="str">
        <f t="shared" si="14"/>
        <v>Profitable ✅</v>
      </c>
    </row>
    <row r="183" spans="1:21" x14ac:dyDescent="0.35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  <c r="Q183" s="18">
        <f t="shared" si="10"/>
        <v>0.13194444444444445</v>
      </c>
      <c r="R183" s="18">
        <f t="shared" si="11"/>
        <v>0.04</v>
      </c>
      <c r="S183" s="1" t="str">
        <f t="shared" si="12"/>
        <v>Enterprise</v>
      </c>
      <c r="T183" s="18">
        <f t="shared" si="13"/>
        <v>0.86805555555555558</v>
      </c>
      <c r="U183" s="1" t="str">
        <f t="shared" si="14"/>
        <v>Profitable ✅</v>
      </c>
    </row>
    <row r="184" spans="1:21" x14ac:dyDescent="0.35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  <c r="Q184" s="18">
        <f t="shared" si="10"/>
        <v>0.22619047619047619</v>
      </c>
      <c r="R184" s="18">
        <f t="shared" si="11"/>
        <v>0.04</v>
      </c>
      <c r="S184" s="1" t="str">
        <f t="shared" si="12"/>
        <v>Large</v>
      </c>
      <c r="T184" s="18">
        <f t="shared" si="13"/>
        <v>0.77380952380952384</v>
      </c>
      <c r="U184" s="1" t="str">
        <f t="shared" si="14"/>
        <v>Profitable ✅</v>
      </c>
    </row>
    <row r="185" spans="1:21" x14ac:dyDescent="0.35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  <c r="Q185" s="18">
        <f t="shared" si="10"/>
        <v>0.30555555555555552</v>
      </c>
      <c r="R185" s="18">
        <f t="shared" si="11"/>
        <v>0.04</v>
      </c>
      <c r="S185" s="1" t="str">
        <f t="shared" si="12"/>
        <v>Medium</v>
      </c>
      <c r="T185" s="18">
        <f t="shared" si="13"/>
        <v>0.69444444444444442</v>
      </c>
      <c r="U185" s="1" t="str">
        <f t="shared" si="14"/>
        <v>Profitable ✅</v>
      </c>
    </row>
    <row r="186" spans="1:21" x14ac:dyDescent="0.35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  <c r="Q186" s="18">
        <f t="shared" si="10"/>
        <v>0.13194444444444445</v>
      </c>
      <c r="R186" s="18">
        <f t="shared" si="11"/>
        <v>0.04</v>
      </c>
      <c r="S186" s="1" t="str">
        <f t="shared" si="12"/>
        <v>Enterprise</v>
      </c>
      <c r="T186" s="18">
        <f t="shared" si="13"/>
        <v>0.86805555555555558</v>
      </c>
      <c r="U186" s="1" t="str">
        <f t="shared" si="14"/>
        <v>Profitable ✅</v>
      </c>
    </row>
    <row r="187" spans="1:21" x14ac:dyDescent="0.35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  <c r="Q187" s="18">
        <f t="shared" si="10"/>
        <v>0.25595238095238099</v>
      </c>
      <c r="R187" s="18">
        <f t="shared" si="11"/>
        <v>0.04</v>
      </c>
      <c r="S187" s="1" t="str">
        <f t="shared" si="12"/>
        <v>Medium</v>
      </c>
      <c r="T187" s="18">
        <f t="shared" si="13"/>
        <v>0.74404761904761896</v>
      </c>
      <c r="U187" s="1" t="str">
        <f t="shared" si="14"/>
        <v>Profitable ✅</v>
      </c>
    </row>
    <row r="188" spans="1:21" x14ac:dyDescent="0.35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  <c r="Q188" s="18">
        <f t="shared" si="10"/>
        <v>0.13194444444444445</v>
      </c>
      <c r="R188" s="18">
        <f t="shared" si="11"/>
        <v>0.04</v>
      </c>
      <c r="S188" s="1" t="str">
        <f t="shared" si="12"/>
        <v>Enterprise</v>
      </c>
      <c r="T188" s="18">
        <f t="shared" si="13"/>
        <v>0.86805555555555558</v>
      </c>
      <c r="U188" s="1" t="str">
        <f t="shared" si="14"/>
        <v>Profitable ✅</v>
      </c>
    </row>
    <row r="189" spans="1:21" x14ac:dyDescent="0.35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  <c r="Q189" s="18">
        <f t="shared" si="10"/>
        <v>0</v>
      </c>
      <c r="R189" s="18">
        <f t="shared" si="11"/>
        <v>0.04</v>
      </c>
      <c r="S189" s="1" t="str">
        <f t="shared" si="12"/>
        <v>Large</v>
      </c>
      <c r="T189" s="18">
        <f t="shared" si="13"/>
        <v>1</v>
      </c>
      <c r="U189" s="1" t="str">
        <f t="shared" si="14"/>
        <v>Breakeven ⚖️</v>
      </c>
    </row>
    <row r="190" spans="1:21" x14ac:dyDescent="0.35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  <c r="Q190" s="18">
        <f t="shared" si="10"/>
        <v>0.25595238095238093</v>
      </c>
      <c r="R190" s="18">
        <f t="shared" si="11"/>
        <v>0.04</v>
      </c>
      <c r="S190" s="1" t="str">
        <f t="shared" si="12"/>
        <v>Medium</v>
      </c>
      <c r="T190" s="18">
        <f t="shared" si="13"/>
        <v>0.74404761904761907</v>
      </c>
      <c r="U190" s="1" t="str">
        <f t="shared" si="14"/>
        <v>Profitable ✅</v>
      </c>
    </row>
    <row r="191" spans="1:21" x14ac:dyDescent="0.35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  <c r="Q191" s="18">
        <f t="shared" si="10"/>
        <v>0</v>
      </c>
      <c r="R191" s="18">
        <f t="shared" si="11"/>
        <v>0.04</v>
      </c>
      <c r="S191" s="1" t="str">
        <f t="shared" si="12"/>
        <v>Large</v>
      </c>
      <c r="T191" s="18">
        <f t="shared" si="13"/>
        <v>1</v>
      </c>
      <c r="U191" s="1" t="str">
        <f t="shared" si="14"/>
        <v>Breakeven ⚖️</v>
      </c>
    </row>
    <row r="192" spans="1:21" x14ac:dyDescent="0.35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  <c r="Q192" s="18">
        <f t="shared" si="10"/>
        <v>0.13194444444444445</v>
      </c>
      <c r="R192" s="18">
        <f t="shared" si="11"/>
        <v>0.04</v>
      </c>
      <c r="S192" s="1" t="str">
        <f t="shared" si="12"/>
        <v>Enterprise</v>
      </c>
      <c r="T192" s="18">
        <f t="shared" si="13"/>
        <v>0.86805555555555558</v>
      </c>
      <c r="U192" s="1" t="str">
        <f t="shared" si="14"/>
        <v>Profitable ✅</v>
      </c>
    </row>
    <row r="193" spans="1:21" x14ac:dyDescent="0.35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  <c r="Q193" s="18">
        <f t="shared" si="10"/>
        <v>0.13194444444444445</v>
      </c>
      <c r="R193" s="18">
        <f t="shared" si="11"/>
        <v>0.04</v>
      </c>
      <c r="S193" s="1" t="str">
        <f t="shared" si="12"/>
        <v>Enterprise</v>
      </c>
      <c r="T193" s="18">
        <f t="shared" si="13"/>
        <v>0.86805555555555558</v>
      </c>
      <c r="U193" s="1" t="str">
        <f t="shared" si="14"/>
        <v>Profitable ✅</v>
      </c>
    </row>
    <row r="194" spans="1:21" x14ac:dyDescent="0.35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  <c r="Q194" s="18">
        <f t="shared" ref="Q194:Q257" si="15">IF(J194=0,0,L194/J194)</f>
        <v>0.22619047619047619</v>
      </c>
      <c r="R194" s="18">
        <f t="shared" ref="R194:R257" si="16">IF(H194=0,0, I194/H194)</f>
        <v>0.04</v>
      </c>
      <c r="S194" s="1" t="str">
        <f t="shared" ref="S194:S257" si="17">IF(J194&lt;10000,"Small",IF(J194&lt;50000,"Medium",IF(J194&lt;200000,"Large","Enterprise")))</f>
        <v>Enterprise</v>
      </c>
      <c r="T194" s="18">
        <f t="shared" ref="T194:T257" si="18">IF(J194=0,0,K194/J194)</f>
        <v>0.77380952380952384</v>
      </c>
      <c r="U194" s="1" t="str">
        <f t="shared" ref="U194:U257" si="19">IFERROR(IF(L194&gt;0,"Profitable ✅",IF(L194=0,"Breakeven ⚖️","Loss ❌")),"Check Data 📊")</f>
        <v>Profitable ✅</v>
      </c>
    </row>
    <row r="195" spans="1:21" x14ac:dyDescent="0.35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  <c r="Q195" s="18">
        <f t="shared" si="15"/>
        <v>0</v>
      </c>
      <c r="R195" s="18">
        <f t="shared" si="16"/>
        <v>0.04</v>
      </c>
      <c r="S195" s="1" t="str">
        <f t="shared" si="17"/>
        <v>Enterprise</v>
      </c>
      <c r="T195" s="18">
        <f t="shared" si="18"/>
        <v>1</v>
      </c>
      <c r="U195" s="1" t="str">
        <f t="shared" si="19"/>
        <v>Breakeven ⚖️</v>
      </c>
    </row>
    <row r="196" spans="1:21" x14ac:dyDescent="0.35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  <c r="Q196" s="18">
        <f t="shared" si="15"/>
        <v>0.30555555555555552</v>
      </c>
      <c r="R196" s="18">
        <f t="shared" si="16"/>
        <v>0.04</v>
      </c>
      <c r="S196" s="1" t="str">
        <f t="shared" si="17"/>
        <v>Small</v>
      </c>
      <c r="T196" s="18">
        <f t="shared" si="18"/>
        <v>0.69444444444444453</v>
      </c>
      <c r="U196" s="1" t="str">
        <f t="shared" si="19"/>
        <v>Profitable ✅</v>
      </c>
    </row>
    <row r="197" spans="1:21" x14ac:dyDescent="0.35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  <c r="Q197" s="18">
        <f t="shared" si="15"/>
        <v>0.47916666666666669</v>
      </c>
      <c r="R197" s="18">
        <f t="shared" si="16"/>
        <v>0.04</v>
      </c>
      <c r="S197" s="1" t="str">
        <f t="shared" si="17"/>
        <v>Medium</v>
      </c>
      <c r="T197" s="18">
        <f t="shared" si="18"/>
        <v>0.52083333333333326</v>
      </c>
      <c r="U197" s="1" t="str">
        <f t="shared" si="19"/>
        <v>Profitable ✅</v>
      </c>
    </row>
    <row r="198" spans="1:21" x14ac:dyDescent="0.35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  <c r="Q198" s="18">
        <f t="shared" si="15"/>
        <v>0.47916666666666669</v>
      </c>
      <c r="R198" s="18">
        <f t="shared" si="16"/>
        <v>0.04</v>
      </c>
      <c r="S198" s="1" t="str">
        <f t="shared" si="17"/>
        <v>Medium</v>
      </c>
      <c r="T198" s="18">
        <f t="shared" si="18"/>
        <v>0.52083333333333326</v>
      </c>
      <c r="U198" s="1" t="str">
        <f t="shared" si="19"/>
        <v>Profitable ✅</v>
      </c>
    </row>
    <row r="199" spans="1:21" x14ac:dyDescent="0.35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  <c r="Q199" s="18">
        <f t="shared" si="15"/>
        <v>0.30555555555555552</v>
      </c>
      <c r="R199" s="18">
        <f t="shared" si="16"/>
        <v>0.04</v>
      </c>
      <c r="S199" s="1" t="str">
        <f t="shared" si="17"/>
        <v>Small</v>
      </c>
      <c r="T199" s="18">
        <f t="shared" si="18"/>
        <v>0.69444444444444442</v>
      </c>
      <c r="U199" s="1" t="str">
        <f t="shared" si="19"/>
        <v>Profitable ✅</v>
      </c>
    </row>
    <row r="200" spans="1:21" x14ac:dyDescent="0.35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  <c r="Q200" s="18">
        <f t="shared" si="15"/>
        <v>0.30555555555555552</v>
      </c>
      <c r="R200" s="18">
        <f t="shared" si="16"/>
        <v>0.04</v>
      </c>
      <c r="S200" s="1" t="str">
        <f t="shared" si="17"/>
        <v>Medium</v>
      </c>
      <c r="T200" s="18">
        <f t="shared" si="18"/>
        <v>0.69444444444444453</v>
      </c>
      <c r="U200" s="1" t="str">
        <f t="shared" si="19"/>
        <v>Profitable ✅</v>
      </c>
    </row>
    <row r="201" spans="1:21" x14ac:dyDescent="0.35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  <c r="Q201" s="18">
        <f t="shared" si="15"/>
        <v>0.22619047619047619</v>
      </c>
      <c r="R201" s="18">
        <f t="shared" si="16"/>
        <v>0.04</v>
      </c>
      <c r="S201" s="1" t="str">
        <f t="shared" si="17"/>
        <v>Large</v>
      </c>
      <c r="T201" s="18">
        <f t="shared" si="18"/>
        <v>0.77380952380952384</v>
      </c>
      <c r="U201" s="1" t="str">
        <f t="shared" si="19"/>
        <v>Profitable ✅</v>
      </c>
    </row>
    <row r="202" spans="1:21" x14ac:dyDescent="0.35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  <c r="Q202" s="18">
        <f t="shared" si="15"/>
        <v>0</v>
      </c>
      <c r="R202" s="18">
        <f t="shared" si="16"/>
        <v>0.04</v>
      </c>
      <c r="S202" s="1" t="str">
        <f t="shared" si="17"/>
        <v>Large</v>
      </c>
      <c r="T202" s="18">
        <f t="shared" si="18"/>
        <v>1</v>
      </c>
      <c r="U202" s="1" t="str">
        <f t="shared" si="19"/>
        <v>Breakeven ⚖️</v>
      </c>
    </row>
    <row r="203" spans="1:21" x14ac:dyDescent="0.35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  <c r="Q203" s="18">
        <f t="shared" si="15"/>
        <v>0.73958333333333337</v>
      </c>
      <c r="R203" s="18">
        <f t="shared" si="16"/>
        <v>0.04</v>
      </c>
      <c r="S203" s="1" t="str">
        <f t="shared" si="17"/>
        <v>Medium</v>
      </c>
      <c r="T203" s="18">
        <f t="shared" si="18"/>
        <v>0.26041666666666669</v>
      </c>
      <c r="U203" s="1" t="str">
        <f t="shared" si="19"/>
        <v>Profitable ✅</v>
      </c>
    </row>
    <row r="204" spans="1:21" x14ac:dyDescent="0.35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  <c r="Q204" s="18">
        <f t="shared" si="15"/>
        <v>0.47916666666666663</v>
      </c>
      <c r="R204" s="18">
        <f t="shared" si="16"/>
        <v>0.04</v>
      </c>
      <c r="S204" s="1" t="str">
        <f t="shared" si="17"/>
        <v>Large</v>
      </c>
      <c r="T204" s="18">
        <f t="shared" si="18"/>
        <v>0.52083333333333337</v>
      </c>
      <c r="U204" s="1" t="str">
        <f t="shared" si="19"/>
        <v>Profitable ✅</v>
      </c>
    </row>
    <row r="205" spans="1:21" x14ac:dyDescent="0.35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  <c r="Q205" s="18">
        <f t="shared" si="15"/>
        <v>0.22619047619047619</v>
      </c>
      <c r="R205" s="18">
        <f t="shared" si="16"/>
        <v>0.04</v>
      </c>
      <c r="S205" s="1" t="str">
        <f t="shared" si="17"/>
        <v>Enterprise</v>
      </c>
      <c r="T205" s="18">
        <f t="shared" si="18"/>
        <v>0.77380952380952384</v>
      </c>
      <c r="U205" s="1" t="str">
        <f t="shared" si="19"/>
        <v>Profitable ✅</v>
      </c>
    </row>
    <row r="206" spans="1:21" x14ac:dyDescent="0.35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  <c r="Q206" s="18">
        <f t="shared" si="15"/>
        <v>0.73958333333333337</v>
      </c>
      <c r="R206" s="18">
        <f t="shared" si="16"/>
        <v>0.04</v>
      </c>
      <c r="S206" s="1" t="str">
        <f t="shared" si="17"/>
        <v>Small</v>
      </c>
      <c r="T206" s="18">
        <f t="shared" si="18"/>
        <v>0.26041666666666669</v>
      </c>
      <c r="U206" s="1" t="str">
        <f t="shared" si="19"/>
        <v>Profitable ✅</v>
      </c>
    </row>
    <row r="207" spans="1:21" x14ac:dyDescent="0.35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  <c r="Q207" s="18">
        <f t="shared" si="15"/>
        <v>0.22619047619047619</v>
      </c>
      <c r="R207" s="18">
        <f t="shared" si="16"/>
        <v>0.04</v>
      </c>
      <c r="S207" s="1" t="str">
        <f t="shared" si="17"/>
        <v>Large</v>
      </c>
      <c r="T207" s="18">
        <f t="shared" si="18"/>
        <v>0.77380952380952384</v>
      </c>
      <c r="U207" s="1" t="str">
        <f t="shared" si="19"/>
        <v>Profitable ✅</v>
      </c>
    </row>
    <row r="208" spans="1:21" x14ac:dyDescent="0.35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  <c r="Q208" s="18">
        <f t="shared" si="15"/>
        <v>0.22619047619047619</v>
      </c>
      <c r="R208" s="18">
        <f t="shared" si="16"/>
        <v>0.04</v>
      </c>
      <c r="S208" s="1" t="str">
        <f t="shared" si="17"/>
        <v>Enterprise</v>
      </c>
      <c r="T208" s="18">
        <f t="shared" si="18"/>
        <v>0.77380952380952384</v>
      </c>
      <c r="U208" s="1" t="str">
        <f t="shared" si="19"/>
        <v>Profitable ✅</v>
      </c>
    </row>
    <row r="209" spans="1:21" x14ac:dyDescent="0.35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  <c r="Q209" s="18">
        <f t="shared" si="15"/>
        <v>0.30555555555555552</v>
      </c>
      <c r="R209" s="18">
        <f t="shared" si="16"/>
        <v>0.04</v>
      </c>
      <c r="S209" s="1" t="str">
        <f t="shared" si="17"/>
        <v>Medium</v>
      </c>
      <c r="T209" s="18">
        <f t="shared" si="18"/>
        <v>0.69444444444444453</v>
      </c>
      <c r="U209" s="1" t="str">
        <f t="shared" si="19"/>
        <v>Profitable ✅</v>
      </c>
    </row>
    <row r="210" spans="1:21" x14ac:dyDescent="0.35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  <c r="Q210" s="18">
        <f t="shared" si="15"/>
        <v>0.22619047619047619</v>
      </c>
      <c r="R210" s="18">
        <f t="shared" si="16"/>
        <v>0.04</v>
      </c>
      <c r="S210" s="1" t="str">
        <f t="shared" si="17"/>
        <v>Enterprise</v>
      </c>
      <c r="T210" s="18">
        <f t="shared" si="18"/>
        <v>0.77380952380952384</v>
      </c>
      <c r="U210" s="1" t="str">
        <f t="shared" si="19"/>
        <v>Profitable ✅</v>
      </c>
    </row>
    <row r="211" spans="1:21" x14ac:dyDescent="0.35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  <c r="Q211" s="18">
        <f t="shared" si="15"/>
        <v>0</v>
      </c>
      <c r="R211" s="18">
        <f t="shared" si="16"/>
        <v>0.04</v>
      </c>
      <c r="S211" s="1" t="str">
        <f t="shared" si="17"/>
        <v>Large</v>
      </c>
      <c r="T211" s="18">
        <f t="shared" si="18"/>
        <v>1</v>
      </c>
      <c r="U211" s="1" t="str">
        <f t="shared" si="19"/>
        <v>Breakeven ⚖️</v>
      </c>
    </row>
    <row r="212" spans="1:21" x14ac:dyDescent="0.35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  <c r="Q212" s="18">
        <f t="shared" si="15"/>
        <v>0.22619047619047619</v>
      </c>
      <c r="R212" s="18">
        <f t="shared" si="16"/>
        <v>0.04</v>
      </c>
      <c r="S212" s="1" t="str">
        <f t="shared" si="17"/>
        <v>Enterprise</v>
      </c>
      <c r="T212" s="18">
        <f t="shared" si="18"/>
        <v>0.77380952380952384</v>
      </c>
      <c r="U212" s="1" t="str">
        <f t="shared" si="19"/>
        <v>Profitable ✅</v>
      </c>
    </row>
    <row r="213" spans="1:21" x14ac:dyDescent="0.35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  <c r="Q213" s="18">
        <f t="shared" si="15"/>
        <v>0.30555555555555552</v>
      </c>
      <c r="R213" s="18">
        <f t="shared" si="16"/>
        <v>0.04</v>
      </c>
      <c r="S213" s="1" t="str">
        <f t="shared" si="17"/>
        <v>Small</v>
      </c>
      <c r="T213" s="18">
        <f t="shared" si="18"/>
        <v>0.69444444444444442</v>
      </c>
      <c r="U213" s="1" t="str">
        <f t="shared" si="19"/>
        <v>Profitable ✅</v>
      </c>
    </row>
    <row r="214" spans="1:21" x14ac:dyDescent="0.35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  <c r="Q214" s="18">
        <f t="shared" si="15"/>
        <v>0.22619047619047619</v>
      </c>
      <c r="R214" s="18">
        <f t="shared" si="16"/>
        <v>0.04</v>
      </c>
      <c r="S214" s="1" t="str">
        <f t="shared" si="17"/>
        <v>Enterprise</v>
      </c>
      <c r="T214" s="18">
        <f t="shared" si="18"/>
        <v>0.77380952380952384</v>
      </c>
      <c r="U214" s="1" t="str">
        <f t="shared" si="19"/>
        <v>Profitable ✅</v>
      </c>
    </row>
    <row r="215" spans="1:21" x14ac:dyDescent="0.35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  <c r="Q215" s="18">
        <f t="shared" si="15"/>
        <v>0.24812030075187974</v>
      </c>
      <c r="R215" s="18">
        <f t="shared" si="16"/>
        <v>4.9999999999999996E-2</v>
      </c>
      <c r="S215" s="1" t="str">
        <f t="shared" si="17"/>
        <v>Small</v>
      </c>
      <c r="T215" s="18">
        <f t="shared" si="18"/>
        <v>0.75187969924812026</v>
      </c>
      <c r="U215" s="1" t="str">
        <f t="shared" si="19"/>
        <v>Profitable ✅</v>
      </c>
    </row>
    <row r="216" spans="1:21" x14ac:dyDescent="0.35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  <c r="Q216" s="18">
        <f t="shared" si="15"/>
        <v>0.24812030075187963</v>
      </c>
      <c r="R216" s="18">
        <f t="shared" si="16"/>
        <v>4.9999999999999996E-2</v>
      </c>
      <c r="S216" s="1" t="str">
        <f t="shared" si="17"/>
        <v>Small</v>
      </c>
      <c r="T216" s="18">
        <f t="shared" si="18"/>
        <v>0.75187969924812037</v>
      </c>
      <c r="U216" s="1" t="str">
        <f t="shared" si="19"/>
        <v>Profitable ✅</v>
      </c>
    </row>
    <row r="217" spans="1:21" x14ac:dyDescent="0.35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  <c r="Q217" s="18">
        <f t="shared" si="15"/>
        <v>0.24812030075187971</v>
      </c>
      <c r="R217" s="18">
        <f t="shared" si="16"/>
        <v>4.9999999999999996E-2</v>
      </c>
      <c r="S217" s="1" t="str">
        <f t="shared" si="17"/>
        <v>Medium</v>
      </c>
      <c r="T217" s="18">
        <f t="shared" si="18"/>
        <v>0.75187969924812026</v>
      </c>
      <c r="U217" s="1" t="str">
        <f t="shared" si="19"/>
        <v>Profitable ✅</v>
      </c>
    </row>
    <row r="218" spans="1:21" x14ac:dyDescent="0.35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  <c r="Q218" s="18">
        <f t="shared" si="15"/>
        <v>0.24812030075187963</v>
      </c>
      <c r="R218" s="18">
        <f t="shared" si="16"/>
        <v>4.9999999999999996E-2</v>
      </c>
      <c r="S218" s="1" t="str">
        <f t="shared" si="17"/>
        <v>Medium</v>
      </c>
      <c r="T218" s="18">
        <f t="shared" si="18"/>
        <v>0.75187969924812037</v>
      </c>
      <c r="U218" s="1" t="str">
        <f t="shared" si="19"/>
        <v>Profitable ✅</v>
      </c>
    </row>
    <row r="219" spans="1:21" x14ac:dyDescent="0.35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  <c r="Q219" s="18">
        <f t="shared" si="15"/>
        <v>0.73684210526315785</v>
      </c>
      <c r="R219" s="18">
        <f t="shared" si="16"/>
        <v>4.9999999999999996E-2</v>
      </c>
      <c r="S219" s="1" t="str">
        <f t="shared" si="17"/>
        <v>Medium</v>
      </c>
      <c r="T219" s="18">
        <f t="shared" si="18"/>
        <v>0.26315789473684209</v>
      </c>
      <c r="U219" s="1" t="str">
        <f t="shared" si="19"/>
        <v>Profitable ✅</v>
      </c>
    </row>
    <row r="220" spans="1:21" x14ac:dyDescent="0.35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  <c r="Q220" s="18">
        <f t="shared" si="15"/>
        <v>0.73684210526315785</v>
      </c>
      <c r="R220" s="18">
        <f t="shared" si="16"/>
        <v>4.9999999999999996E-2</v>
      </c>
      <c r="S220" s="1" t="str">
        <f t="shared" si="17"/>
        <v>Medium</v>
      </c>
      <c r="T220" s="18">
        <f t="shared" si="18"/>
        <v>0.26315789473684209</v>
      </c>
      <c r="U220" s="1" t="str">
        <f t="shared" si="19"/>
        <v>Profitable ✅</v>
      </c>
    </row>
    <row r="221" spans="1:21" x14ac:dyDescent="0.35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  <c r="Q221" s="18">
        <f t="shared" si="15"/>
        <v>0.24812030075187963</v>
      </c>
      <c r="R221" s="18">
        <f t="shared" si="16"/>
        <v>4.9999999999999996E-2</v>
      </c>
      <c r="S221" s="1" t="str">
        <f t="shared" si="17"/>
        <v>Medium</v>
      </c>
      <c r="T221" s="18">
        <f t="shared" si="18"/>
        <v>0.75187969924812037</v>
      </c>
      <c r="U221" s="1" t="str">
        <f t="shared" si="19"/>
        <v>Profitable ✅</v>
      </c>
    </row>
    <row r="222" spans="1:21" x14ac:dyDescent="0.35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  <c r="Q222" s="18">
        <f t="shared" si="15"/>
        <v>0.24812030075187974</v>
      </c>
      <c r="R222" s="18">
        <f t="shared" si="16"/>
        <v>4.9999999999999996E-2</v>
      </c>
      <c r="S222" s="1" t="str">
        <f t="shared" si="17"/>
        <v>Medium</v>
      </c>
      <c r="T222" s="18">
        <f t="shared" si="18"/>
        <v>0.75187969924812026</v>
      </c>
      <c r="U222" s="1" t="str">
        <f t="shared" si="19"/>
        <v>Profitable ✅</v>
      </c>
    </row>
    <row r="223" spans="1:21" x14ac:dyDescent="0.35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  <c r="Q223" s="18">
        <f t="shared" si="15"/>
        <v>0.73684210526315796</v>
      </c>
      <c r="R223" s="18">
        <f t="shared" si="16"/>
        <v>4.9999999999999996E-2</v>
      </c>
      <c r="S223" s="1" t="str">
        <f t="shared" si="17"/>
        <v>Medium</v>
      </c>
      <c r="T223" s="18">
        <f t="shared" si="18"/>
        <v>0.26315789473684209</v>
      </c>
      <c r="U223" s="1" t="str">
        <f t="shared" si="19"/>
        <v>Profitable ✅</v>
      </c>
    </row>
    <row r="224" spans="1:21" x14ac:dyDescent="0.35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  <c r="Q224" s="18">
        <f t="shared" si="15"/>
        <v>0.24812030075187974</v>
      </c>
      <c r="R224" s="18">
        <f t="shared" si="16"/>
        <v>4.9999999999999996E-2</v>
      </c>
      <c r="S224" s="1" t="str">
        <f t="shared" si="17"/>
        <v>Small</v>
      </c>
      <c r="T224" s="18">
        <f t="shared" si="18"/>
        <v>0.75187969924812026</v>
      </c>
      <c r="U224" s="1" t="str">
        <f t="shared" si="19"/>
        <v>Profitable ✅</v>
      </c>
    </row>
    <row r="225" spans="1:21" x14ac:dyDescent="0.35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  <c r="Q225" s="18">
        <f t="shared" si="15"/>
        <v>0.73684210526315785</v>
      </c>
      <c r="R225" s="18">
        <f t="shared" si="16"/>
        <v>0.05</v>
      </c>
      <c r="S225" s="1" t="str">
        <f t="shared" si="17"/>
        <v>Medium</v>
      </c>
      <c r="T225" s="18">
        <f t="shared" si="18"/>
        <v>0.26315789473684209</v>
      </c>
      <c r="U225" s="1" t="str">
        <f t="shared" si="19"/>
        <v>Profitable ✅</v>
      </c>
    </row>
    <row r="226" spans="1:21" x14ac:dyDescent="0.35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  <c r="Q226" s="18">
        <f t="shared" si="15"/>
        <v>0.73684210526315785</v>
      </c>
      <c r="R226" s="18">
        <f t="shared" si="16"/>
        <v>0.05</v>
      </c>
      <c r="S226" s="1" t="str">
        <f t="shared" si="17"/>
        <v>Medium</v>
      </c>
      <c r="T226" s="18">
        <f t="shared" si="18"/>
        <v>0.26315789473684209</v>
      </c>
      <c r="U226" s="1" t="str">
        <f t="shared" si="19"/>
        <v>Profitable ✅</v>
      </c>
    </row>
    <row r="227" spans="1:21" x14ac:dyDescent="0.35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  <c r="Q227" s="18">
        <f t="shared" si="15"/>
        <v>0.47368421052631576</v>
      </c>
      <c r="R227" s="18">
        <f t="shared" si="16"/>
        <v>0.05</v>
      </c>
      <c r="S227" s="1" t="str">
        <f t="shared" si="17"/>
        <v>Medium</v>
      </c>
      <c r="T227" s="18">
        <f t="shared" si="18"/>
        <v>0.52631578947368418</v>
      </c>
      <c r="U227" s="1" t="str">
        <f t="shared" si="19"/>
        <v>Profitable ✅</v>
      </c>
    </row>
    <row r="228" spans="1:21" x14ac:dyDescent="0.35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  <c r="Q228" s="18">
        <f t="shared" si="15"/>
        <v>0.12280701754385964</v>
      </c>
      <c r="R228" s="18">
        <f t="shared" si="16"/>
        <v>0.05</v>
      </c>
      <c r="S228" s="1" t="str">
        <f t="shared" si="17"/>
        <v>Enterprise</v>
      </c>
      <c r="T228" s="18">
        <f t="shared" si="18"/>
        <v>0.8771929824561403</v>
      </c>
      <c r="U228" s="1" t="str">
        <f t="shared" si="19"/>
        <v>Profitable ✅</v>
      </c>
    </row>
    <row r="229" spans="1:21" x14ac:dyDescent="0.35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  <c r="Q229" s="18">
        <f t="shared" si="15"/>
        <v>0.24812030075187966</v>
      </c>
      <c r="R229" s="18">
        <f t="shared" si="16"/>
        <v>0.05</v>
      </c>
      <c r="S229" s="1" t="str">
        <f t="shared" si="17"/>
        <v>Small</v>
      </c>
      <c r="T229" s="18">
        <f t="shared" si="18"/>
        <v>0.75187969924812037</v>
      </c>
      <c r="U229" s="1" t="str">
        <f t="shared" si="19"/>
        <v>Profitable ✅</v>
      </c>
    </row>
    <row r="230" spans="1:21" x14ac:dyDescent="0.35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  <c r="Q230" s="18">
        <f t="shared" si="15"/>
        <v>0.2982456140350877</v>
      </c>
      <c r="R230" s="18">
        <f t="shared" si="16"/>
        <v>0.05</v>
      </c>
      <c r="S230" s="1" t="str">
        <f t="shared" si="17"/>
        <v>Medium</v>
      </c>
      <c r="T230" s="18">
        <f t="shared" si="18"/>
        <v>0.70175438596491224</v>
      </c>
      <c r="U230" s="1" t="str">
        <f t="shared" si="19"/>
        <v>Profitable ✅</v>
      </c>
    </row>
    <row r="231" spans="1:21" x14ac:dyDescent="0.35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  <c r="Q231" s="18">
        <f t="shared" si="15"/>
        <v>0.24812030075187969</v>
      </c>
      <c r="R231" s="18">
        <f t="shared" si="16"/>
        <v>0.05</v>
      </c>
      <c r="S231" s="1" t="str">
        <f t="shared" si="17"/>
        <v>Small</v>
      </c>
      <c r="T231" s="18">
        <f t="shared" si="18"/>
        <v>0.75187969924812026</v>
      </c>
      <c r="U231" s="1" t="str">
        <f t="shared" si="19"/>
        <v>Profitable ✅</v>
      </c>
    </row>
    <row r="232" spans="1:21" x14ac:dyDescent="0.35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  <c r="Q232" s="18">
        <f t="shared" si="15"/>
        <v>0.24812030075187966</v>
      </c>
      <c r="R232" s="18">
        <f t="shared" si="16"/>
        <v>0.05</v>
      </c>
      <c r="S232" s="1" t="str">
        <f t="shared" si="17"/>
        <v>Medium</v>
      </c>
      <c r="T232" s="18">
        <f t="shared" si="18"/>
        <v>0.75187969924812037</v>
      </c>
      <c r="U232" s="1" t="str">
        <f t="shared" si="19"/>
        <v>Profitable ✅</v>
      </c>
    </row>
    <row r="233" spans="1:21" x14ac:dyDescent="0.35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  <c r="Q233" s="18">
        <f t="shared" si="15"/>
        <v>0.21804511278195488</v>
      </c>
      <c r="R233" s="18">
        <f t="shared" si="16"/>
        <v>0.05</v>
      </c>
      <c r="S233" s="1" t="str">
        <f t="shared" si="17"/>
        <v>Enterprise</v>
      </c>
      <c r="T233" s="18">
        <f t="shared" si="18"/>
        <v>0.78195488721804507</v>
      </c>
      <c r="U233" s="1" t="str">
        <f t="shared" si="19"/>
        <v>Profitable ✅</v>
      </c>
    </row>
    <row r="234" spans="1:21" x14ac:dyDescent="0.35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  <c r="Q234" s="18">
        <f t="shared" si="15"/>
        <v>-1.0526315789473684E-2</v>
      </c>
      <c r="R234" s="18">
        <f t="shared" si="16"/>
        <v>0.05</v>
      </c>
      <c r="S234" s="1" t="str">
        <f t="shared" si="17"/>
        <v>Enterprise</v>
      </c>
      <c r="T234" s="18">
        <f t="shared" si="18"/>
        <v>1.0105263157894737</v>
      </c>
      <c r="U234" s="1" t="str">
        <f t="shared" si="19"/>
        <v>Loss ❌</v>
      </c>
    </row>
    <row r="235" spans="1:21" x14ac:dyDescent="0.35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  <c r="Q235" s="18">
        <f t="shared" si="15"/>
        <v>0.21804511278195488</v>
      </c>
      <c r="R235" s="18">
        <f t="shared" si="16"/>
        <v>0.05</v>
      </c>
      <c r="S235" s="1" t="str">
        <f t="shared" si="17"/>
        <v>Enterprise</v>
      </c>
      <c r="T235" s="18">
        <f t="shared" si="18"/>
        <v>0.78195488721804507</v>
      </c>
      <c r="U235" s="1" t="str">
        <f t="shared" si="19"/>
        <v>Profitable ✅</v>
      </c>
    </row>
    <row r="236" spans="1:21" x14ac:dyDescent="0.35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  <c r="Q236" s="18">
        <f t="shared" si="15"/>
        <v>0.73684210526315785</v>
      </c>
      <c r="R236" s="18">
        <f t="shared" si="16"/>
        <v>0.05</v>
      </c>
      <c r="S236" s="1" t="str">
        <f t="shared" si="17"/>
        <v>Medium</v>
      </c>
      <c r="T236" s="18">
        <f t="shared" si="18"/>
        <v>0.26315789473684209</v>
      </c>
      <c r="U236" s="1" t="str">
        <f t="shared" si="19"/>
        <v>Profitable ✅</v>
      </c>
    </row>
    <row r="237" spans="1:21" x14ac:dyDescent="0.35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  <c r="Q237" s="18">
        <f t="shared" si="15"/>
        <v>0.12280701754385964</v>
      </c>
      <c r="R237" s="18">
        <f t="shared" si="16"/>
        <v>0.05</v>
      </c>
      <c r="S237" s="1" t="str">
        <f t="shared" si="17"/>
        <v>Enterprise</v>
      </c>
      <c r="T237" s="18">
        <f t="shared" si="18"/>
        <v>0.8771929824561403</v>
      </c>
      <c r="U237" s="1" t="str">
        <f t="shared" si="19"/>
        <v>Profitable ✅</v>
      </c>
    </row>
    <row r="238" spans="1:21" x14ac:dyDescent="0.35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  <c r="Q238" s="18">
        <f t="shared" si="15"/>
        <v>0.47368421052631576</v>
      </c>
      <c r="R238" s="18">
        <f t="shared" si="16"/>
        <v>0.05</v>
      </c>
      <c r="S238" s="1" t="str">
        <f t="shared" si="17"/>
        <v>Medium</v>
      </c>
      <c r="T238" s="18">
        <f t="shared" si="18"/>
        <v>0.52631578947368418</v>
      </c>
      <c r="U238" s="1" t="str">
        <f t="shared" si="19"/>
        <v>Profitable ✅</v>
      </c>
    </row>
    <row r="239" spans="1:21" x14ac:dyDescent="0.35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  <c r="Q239" s="18">
        <f t="shared" si="15"/>
        <v>-1.0526315789473684E-2</v>
      </c>
      <c r="R239" s="18">
        <f t="shared" si="16"/>
        <v>0.05</v>
      </c>
      <c r="S239" s="1" t="str">
        <f t="shared" si="17"/>
        <v>Enterprise</v>
      </c>
      <c r="T239" s="18">
        <f t="shared" si="18"/>
        <v>1.0105263157894737</v>
      </c>
      <c r="U239" s="1" t="str">
        <f t="shared" si="19"/>
        <v>Loss ❌</v>
      </c>
    </row>
    <row r="240" spans="1:21" x14ac:dyDescent="0.35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  <c r="Q240" s="18">
        <f t="shared" si="15"/>
        <v>-1.0526315789473684E-2</v>
      </c>
      <c r="R240" s="18">
        <f t="shared" si="16"/>
        <v>0.05</v>
      </c>
      <c r="S240" s="1" t="str">
        <f t="shared" si="17"/>
        <v>Enterprise</v>
      </c>
      <c r="T240" s="18">
        <f t="shared" si="18"/>
        <v>1.0105263157894737</v>
      </c>
      <c r="U240" s="1" t="str">
        <f t="shared" si="19"/>
        <v>Loss ❌</v>
      </c>
    </row>
    <row r="241" spans="1:21" x14ac:dyDescent="0.35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  <c r="Q241" s="18">
        <f t="shared" si="15"/>
        <v>0.12280701754385964</v>
      </c>
      <c r="R241" s="18">
        <f t="shared" si="16"/>
        <v>0.05</v>
      </c>
      <c r="S241" s="1" t="str">
        <f t="shared" si="17"/>
        <v>Enterprise</v>
      </c>
      <c r="T241" s="18">
        <f t="shared" si="18"/>
        <v>0.8771929824561403</v>
      </c>
      <c r="U241" s="1" t="str">
        <f t="shared" si="19"/>
        <v>Profitable ✅</v>
      </c>
    </row>
    <row r="242" spans="1:21" x14ac:dyDescent="0.35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  <c r="Q242" s="18">
        <f t="shared" si="15"/>
        <v>0.24812030075187966</v>
      </c>
      <c r="R242" s="18">
        <f t="shared" si="16"/>
        <v>0.05</v>
      </c>
      <c r="S242" s="1" t="str">
        <f t="shared" si="17"/>
        <v>Medium</v>
      </c>
      <c r="T242" s="18">
        <f t="shared" si="18"/>
        <v>0.75187969924812037</v>
      </c>
      <c r="U242" s="1" t="str">
        <f t="shared" si="19"/>
        <v>Profitable ✅</v>
      </c>
    </row>
    <row r="243" spans="1:21" x14ac:dyDescent="0.35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  <c r="Q243" s="18">
        <f t="shared" si="15"/>
        <v>0.12280701754385964</v>
      </c>
      <c r="R243" s="18">
        <f t="shared" si="16"/>
        <v>0.05</v>
      </c>
      <c r="S243" s="1" t="str">
        <f t="shared" si="17"/>
        <v>Enterprise</v>
      </c>
      <c r="T243" s="18">
        <f t="shared" si="18"/>
        <v>0.8771929824561403</v>
      </c>
      <c r="U243" s="1" t="str">
        <f t="shared" si="19"/>
        <v>Profitable ✅</v>
      </c>
    </row>
    <row r="244" spans="1:21" x14ac:dyDescent="0.35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  <c r="Q244" s="18">
        <f t="shared" si="15"/>
        <v>0.21804511278195488</v>
      </c>
      <c r="R244" s="18">
        <f t="shared" si="16"/>
        <v>0.05</v>
      </c>
      <c r="S244" s="1" t="str">
        <f t="shared" si="17"/>
        <v>Enterprise</v>
      </c>
      <c r="T244" s="18">
        <f t="shared" si="18"/>
        <v>0.78195488721804507</v>
      </c>
      <c r="U244" s="1" t="str">
        <f t="shared" si="19"/>
        <v>Profitable ✅</v>
      </c>
    </row>
    <row r="245" spans="1:21" x14ac:dyDescent="0.35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  <c r="Q245" s="18">
        <f t="shared" si="15"/>
        <v>0.2982456140350877</v>
      </c>
      <c r="R245" s="18">
        <f t="shared" si="16"/>
        <v>0.05</v>
      </c>
      <c r="S245" s="1" t="str">
        <f t="shared" si="17"/>
        <v>Medium</v>
      </c>
      <c r="T245" s="18">
        <f t="shared" si="18"/>
        <v>0.70175438596491224</v>
      </c>
      <c r="U245" s="1" t="str">
        <f t="shared" si="19"/>
        <v>Profitable ✅</v>
      </c>
    </row>
    <row r="246" spans="1:21" x14ac:dyDescent="0.35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  <c r="Q246" s="18">
        <f t="shared" si="15"/>
        <v>0.21804511278195488</v>
      </c>
      <c r="R246" s="18">
        <f t="shared" si="16"/>
        <v>0.05</v>
      </c>
      <c r="S246" s="1" t="str">
        <f t="shared" si="17"/>
        <v>Enterprise</v>
      </c>
      <c r="T246" s="18">
        <f t="shared" si="18"/>
        <v>0.78195488721804507</v>
      </c>
      <c r="U246" s="1" t="str">
        <f t="shared" si="19"/>
        <v>Profitable ✅</v>
      </c>
    </row>
    <row r="247" spans="1:21" x14ac:dyDescent="0.35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  <c r="Q247" s="18">
        <f t="shared" si="15"/>
        <v>0.47368421052631576</v>
      </c>
      <c r="R247" s="18">
        <f t="shared" si="16"/>
        <v>0.05</v>
      </c>
      <c r="S247" s="1" t="str">
        <f t="shared" si="17"/>
        <v>Medium</v>
      </c>
      <c r="T247" s="18">
        <f t="shared" si="18"/>
        <v>0.52631578947368418</v>
      </c>
      <c r="U247" s="1" t="str">
        <f t="shared" si="19"/>
        <v>Profitable ✅</v>
      </c>
    </row>
    <row r="248" spans="1:21" x14ac:dyDescent="0.35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  <c r="Q248" s="18">
        <f t="shared" si="15"/>
        <v>-1.0526315789473684E-2</v>
      </c>
      <c r="R248" s="18">
        <f t="shared" si="16"/>
        <v>0.05</v>
      </c>
      <c r="S248" s="1" t="str">
        <f t="shared" si="17"/>
        <v>Large</v>
      </c>
      <c r="T248" s="18">
        <f t="shared" si="18"/>
        <v>1.0105263157894737</v>
      </c>
      <c r="U248" s="1" t="str">
        <f t="shared" si="19"/>
        <v>Loss ❌</v>
      </c>
    </row>
    <row r="249" spans="1:21" x14ac:dyDescent="0.35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  <c r="Q249" s="18">
        <f t="shared" si="15"/>
        <v>-1.0526315789473684E-2</v>
      </c>
      <c r="R249" s="18">
        <f t="shared" si="16"/>
        <v>0.05</v>
      </c>
      <c r="S249" s="1" t="str">
        <f t="shared" si="17"/>
        <v>Large</v>
      </c>
      <c r="T249" s="18">
        <f t="shared" si="18"/>
        <v>1.0105263157894737</v>
      </c>
      <c r="U249" s="1" t="str">
        <f t="shared" si="19"/>
        <v>Loss ❌</v>
      </c>
    </row>
    <row r="250" spans="1:21" x14ac:dyDescent="0.35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  <c r="Q250" s="18">
        <f t="shared" si="15"/>
        <v>0.47368421052631576</v>
      </c>
      <c r="R250" s="18">
        <f t="shared" si="16"/>
        <v>0.05</v>
      </c>
      <c r="S250" s="1" t="str">
        <f t="shared" si="17"/>
        <v>Medium</v>
      </c>
      <c r="T250" s="18">
        <f t="shared" si="18"/>
        <v>0.52631578947368418</v>
      </c>
      <c r="U250" s="1" t="str">
        <f t="shared" si="19"/>
        <v>Profitable ✅</v>
      </c>
    </row>
    <row r="251" spans="1:21" x14ac:dyDescent="0.35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  <c r="Q251" s="18">
        <f t="shared" si="15"/>
        <v>0.47368421052631576</v>
      </c>
      <c r="R251" s="18">
        <f t="shared" si="16"/>
        <v>0.05</v>
      </c>
      <c r="S251" s="1" t="str">
        <f t="shared" si="17"/>
        <v>Large</v>
      </c>
      <c r="T251" s="18">
        <f t="shared" si="18"/>
        <v>0.52631578947368418</v>
      </c>
      <c r="U251" s="1" t="str">
        <f t="shared" si="19"/>
        <v>Profitable ✅</v>
      </c>
    </row>
    <row r="252" spans="1:21" x14ac:dyDescent="0.35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  <c r="Q252" s="18">
        <f t="shared" si="15"/>
        <v>0.24812030075187969</v>
      </c>
      <c r="R252" s="18">
        <f t="shared" si="16"/>
        <v>0.05</v>
      </c>
      <c r="S252" s="1" t="str">
        <f t="shared" si="17"/>
        <v>Medium</v>
      </c>
      <c r="T252" s="18">
        <f t="shared" si="18"/>
        <v>0.75187969924812037</v>
      </c>
      <c r="U252" s="1" t="str">
        <f t="shared" si="19"/>
        <v>Profitable ✅</v>
      </c>
    </row>
    <row r="253" spans="1:21" x14ac:dyDescent="0.35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  <c r="Q253" s="18">
        <f t="shared" si="15"/>
        <v>0.2982456140350877</v>
      </c>
      <c r="R253" s="18">
        <f t="shared" si="16"/>
        <v>0.05</v>
      </c>
      <c r="S253" s="1" t="str">
        <f t="shared" si="17"/>
        <v>Medium</v>
      </c>
      <c r="T253" s="18">
        <f t="shared" si="18"/>
        <v>0.70175438596491224</v>
      </c>
      <c r="U253" s="1" t="str">
        <f t="shared" si="19"/>
        <v>Profitable ✅</v>
      </c>
    </row>
    <row r="254" spans="1:21" x14ac:dyDescent="0.35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  <c r="Q254" s="18">
        <f t="shared" si="15"/>
        <v>0.2982456140350877</v>
      </c>
      <c r="R254" s="18">
        <f t="shared" si="16"/>
        <v>0.05</v>
      </c>
      <c r="S254" s="1" t="str">
        <f t="shared" si="17"/>
        <v>Small</v>
      </c>
      <c r="T254" s="18">
        <f t="shared" si="18"/>
        <v>0.70175438596491224</v>
      </c>
      <c r="U254" s="1" t="str">
        <f t="shared" si="19"/>
        <v>Profitable ✅</v>
      </c>
    </row>
    <row r="255" spans="1:21" x14ac:dyDescent="0.35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  <c r="Q255" s="18">
        <f t="shared" si="15"/>
        <v>0.2982456140350877</v>
      </c>
      <c r="R255" s="18">
        <f t="shared" si="16"/>
        <v>0.05</v>
      </c>
      <c r="S255" s="1" t="str">
        <f t="shared" si="17"/>
        <v>Medium</v>
      </c>
      <c r="T255" s="18">
        <f t="shared" si="18"/>
        <v>0.70175438596491224</v>
      </c>
      <c r="U255" s="1" t="str">
        <f t="shared" si="19"/>
        <v>Profitable ✅</v>
      </c>
    </row>
    <row r="256" spans="1:21" x14ac:dyDescent="0.35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  <c r="Q256" s="18">
        <f t="shared" si="15"/>
        <v>-1.0526315789473684E-2</v>
      </c>
      <c r="R256" s="18">
        <f t="shared" si="16"/>
        <v>0.05</v>
      </c>
      <c r="S256" s="1" t="str">
        <f t="shared" si="17"/>
        <v>Large</v>
      </c>
      <c r="T256" s="18">
        <f t="shared" si="18"/>
        <v>1.0105263157894737</v>
      </c>
      <c r="U256" s="1" t="str">
        <f t="shared" si="19"/>
        <v>Loss ❌</v>
      </c>
    </row>
    <row r="257" spans="1:21" x14ac:dyDescent="0.35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  <c r="Q257" s="18">
        <f t="shared" si="15"/>
        <v>0.21804511278195488</v>
      </c>
      <c r="R257" s="18">
        <f t="shared" si="16"/>
        <v>0.05</v>
      </c>
      <c r="S257" s="1" t="str">
        <f t="shared" si="17"/>
        <v>Enterprise</v>
      </c>
      <c r="T257" s="18">
        <f t="shared" si="18"/>
        <v>0.78195488721804507</v>
      </c>
      <c r="U257" s="1" t="str">
        <f t="shared" si="19"/>
        <v>Profitable ✅</v>
      </c>
    </row>
    <row r="258" spans="1:21" x14ac:dyDescent="0.35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  <c r="Q258" s="18">
        <f t="shared" ref="Q258:Q321" si="20">IF(J258=0,0,L258/J258)</f>
        <v>0.47368421052631576</v>
      </c>
      <c r="R258" s="18">
        <f t="shared" ref="R258:R321" si="21">IF(H258=0,0, I258/H258)</f>
        <v>0.05</v>
      </c>
      <c r="S258" s="1" t="str">
        <f t="shared" ref="S258:S321" si="22">IF(J258&lt;10000,"Small",IF(J258&lt;50000,"Medium",IF(J258&lt;200000,"Large","Enterprise")))</f>
        <v>Large</v>
      </c>
      <c r="T258" s="18">
        <f t="shared" ref="T258:T321" si="23">IF(J258=0,0,K258/J258)</f>
        <v>0.52631578947368418</v>
      </c>
      <c r="U258" s="1" t="str">
        <f t="shared" ref="U258:U321" si="24">IFERROR(IF(L258&gt;0,"Profitable ✅",IF(L258=0,"Breakeven ⚖️","Loss ❌")),"Check Data 📊")</f>
        <v>Profitable ✅</v>
      </c>
    </row>
    <row r="259" spans="1:21" x14ac:dyDescent="0.35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  <c r="Q259" s="18">
        <f t="shared" si="20"/>
        <v>0.47368421052631576</v>
      </c>
      <c r="R259" s="18">
        <f t="shared" si="21"/>
        <v>0.05</v>
      </c>
      <c r="S259" s="1" t="str">
        <f t="shared" si="22"/>
        <v>Medium</v>
      </c>
      <c r="T259" s="18">
        <f t="shared" si="23"/>
        <v>0.52631578947368418</v>
      </c>
      <c r="U259" s="1" t="str">
        <f t="shared" si="24"/>
        <v>Profitable ✅</v>
      </c>
    </row>
    <row r="260" spans="1:21" x14ac:dyDescent="0.35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  <c r="Q260" s="18">
        <f t="shared" si="20"/>
        <v>-1.0526315789473684E-2</v>
      </c>
      <c r="R260" s="18">
        <f t="shared" si="21"/>
        <v>0.05</v>
      </c>
      <c r="S260" s="1" t="str">
        <f t="shared" si="22"/>
        <v>Large</v>
      </c>
      <c r="T260" s="18">
        <f t="shared" si="23"/>
        <v>1.0105263157894737</v>
      </c>
      <c r="U260" s="1" t="str">
        <f t="shared" si="24"/>
        <v>Loss ❌</v>
      </c>
    </row>
    <row r="261" spans="1:21" x14ac:dyDescent="0.35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  <c r="Q261" s="18">
        <f t="shared" si="20"/>
        <v>-1.0526315789473684E-2</v>
      </c>
      <c r="R261" s="18">
        <f t="shared" si="21"/>
        <v>0.05</v>
      </c>
      <c r="S261" s="1" t="str">
        <f t="shared" si="22"/>
        <v>Large</v>
      </c>
      <c r="T261" s="18">
        <f t="shared" si="23"/>
        <v>1.0105263157894737</v>
      </c>
      <c r="U261" s="1" t="str">
        <f t="shared" si="24"/>
        <v>Loss ❌</v>
      </c>
    </row>
    <row r="262" spans="1:21" x14ac:dyDescent="0.35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  <c r="Q262" s="18">
        <f t="shared" si="20"/>
        <v>0.47368421052631576</v>
      </c>
      <c r="R262" s="18">
        <f t="shared" si="21"/>
        <v>0.05</v>
      </c>
      <c r="S262" s="1" t="str">
        <f t="shared" si="22"/>
        <v>Medium</v>
      </c>
      <c r="T262" s="18">
        <f t="shared" si="23"/>
        <v>0.52631578947368418</v>
      </c>
      <c r="U262" s="1" t="str">
        <f t="shared" si="24"/>
        <v>Profitable ✅</v>
      </c>
    </row>
    <row r="263" spans="1:21" x14ac:dyDescent="0.35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  <c r="Q263" s="18">
        <f t="shared" si="20"/>
        <v>0.12280701754385964</v>
      </c>
      <c r="R263" s="18">
        <f t="shared" si="21"/>
        <v>0.05</v>
      </c>
      <c r="S263" s="1" t="str">
        <f t="shared" si="22"/>
        <v>Enterprise</v>
      </c>
      <c r="T263" s="18">
        <f t="shared" si="23"/>
        <v>0.8771929824561403</v>
      </c>
      <c r="U263" s="1" t="str">
        <f t="shared" si="24"/>
        <v>Profitable ✅</v>
      </c>
    </row>
    <row r="264" spans="1:21" x14ac:dyDescent="0.35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  <c r="Q264" s="18">
        <f t="shared" si="20"/>
        <v>0.47368421052631576</v>
      </c>
      <c r="R264" s="18">
        <f t="shared" si="21"/>
        <v>0.05</v>
      </c>
      <c r="S264" s="1" t="str">
        <f t="shared" si="22"/>
        <v>Medium</v>
      </c>
      <c r="T264" s="18">
        <f t="shared" si="23"/>
        <v>0.52631578947368418</v>
      </c>
      <c r="U264" s="1" t="str">
        <f t="shared" si="24"/>
        <v>Profitable ✅</v>
      </c>
    </row>
    <row r="265" spans="1:21" x14ac:dyDescent="0.35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  <c r="Q265" s="18">
        <f t="shared" si="20"/>
        <v>0.47368421052631576</v>
      </c>
      <c r="R265" s="18">
        <f t="shared" si="21"/>
        <v>0.05</v>
      </c>
      <c r="S265" s="1" t="str">
        <f t="shared" si="22"/>
        <v>Medium</v>
      </c>
      <c r="T265" s="18">
        <f t="shared" si="23"/>
        <v>0.52631578947368418</v>
      </c>
      <c r="U265" s="1" t="str">
        <f t="shared" si="24"/>
        <v>Profitable ✅</v>
      </c>
    </row>
    <row r="266" spans="1:21" x14ac:dyDescent="0.35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  <c r="Q266" s="18">
        <f t="shared" si="20"/>
        <v>0.47368421052631576</v>
      </c>
      <c r="R266" s="18">
        <f t="shared" si="21"/>
        <v>0.05</v>
      </c>
      <c r="S266" s="1" t="str">
        <f t="shared" si="22"/>
        <v>Medium</v>
      </c>
      <c r="T266" s="18">
        <f t="shared" si="23"/>
        <v>0.52631578947368418</v>
      </c>
      <c r="U266" s="1" t="str">
        <f t="shared" si="24"/>
        <v>Profitable ✅</v>
      </c>
    </row>
    <row r="267" spans="1:21" x14ac:dyDescent="0.35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  <c r="Q267" s="18">
        <f t="shared" si="20"/>
        <v>0.47368421052631576</v>
      </c>
      <c r="R267" s="18">
        <f t="shared" si="21"/>
        <v>0.05</v>
      </c>
      <c r="S267" s="1" t="str">
        <f t="shared" si="22"/>
        <v>Large</v>
      </c>
      <c r="T267" s="18">
        <f t="shared" si="23"/>
        <v>0.52631578947368418</v>
      </c>
      <c r="U267" s="1" t="str">
        <f t="shared" si="24"/>
        <v>Profitable ✅</v>
      </c>
    </row>
    <row r="268" spans="1:21" x14ac:dyDescent="0.35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  <c r="Q268" s="18">
        <f t="shared" si="20"/>
        <v>0.24812030075187969</v>
      </c>
      <c r="R268" s="18">
        <f t="shared" si="21"/>
        <v>0.05</v>
      </c>
      <c r="S268" s="1" t="str">
        <f t="shared" si="22"/>
        <v>Small</v>
      </c>
      <c r="T268" s="18">
        <f t="shared" si="23"/>
        <v>0.75187969924812026</v>
      </c>
      <c r="U268" s="1" t="str">
        <f t="shared" si="24"/>
        <v>Profitable ✅</v>
      </c>
    </row>
    <row r="269" spans="1:21" x14ac:dyDescent="0.35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  <c r="Q269" s="18">
        <f t="shared" si="20"/>
        <v>0.24812030075187966</v>
      </c>
      <c r="R269" s="18">
        <f t="shared" si="21"/>
        <v>0.05</v>
      </c>
      <c r="S269" s="1" t="str">
        <f t="shared" si="22"/>
        <v>Medium</v>
      </c>
      <c r="T269" s="18">
        <f t="shared" si="23"/>
        <v>0.75187969924812037</v>
      </c>
      <c r="U269" s="1" t="str">
        <f t="shared" si="24"/>
        <v>Profitable ✅</v>
      </c>
    </row>
    <row r="270" spans="1:21" x14ac:dyDescent="0.35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  <c r="Q270" s="18">
        <f t="shared" si="20"/>
        <v>0.21804511278195488</v>
      </c>
      <c r="R270" s="18">
        <f t="shared" si="21"/>
        <v>0.05</v>
      </c>
      <c r="S270" s="1" t="str">
        <f t="shared" si="22"/>
        <v>Enterprise</v>
      </c>
      <c r="T270" s="18">
        <f t="shared" si="23"/>
        <v>0.78195488721804507</v>
      </c>
      <c r="U270" s="1" t="str">
        <f t="shared" si="24"/>
        <v>Profitable ✅</v>
      </c>
    </row>
    <row r="271" spans="1:21" x14ac:dyDescent="0.35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  <c r="Q271" s="18">
        <f t="shared" si="20"/>
        <v>0.21804511278195488</v>
      </c>
      <c r="R271" s="18">
        <f t="shared" si="21"/>
        <v>0.05</v>
      </c>
      <c r="S271" s="1" t="str">
        <f t="shared" si="22"/>
        <v>Large</v>
      </c>
      <c r="T271" s="18">
        <f t="shared" si="23"/>
        <v>0.78195488721804507</v>
      </c>
      <c r="U271" s="1" t="str">
        <f t="shared" si="24"/>
        <v>Profitable ✅</v>
      </c>
    </row>
    <row r="272" spans="1:21" x14ac:dyDescent="0.35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  <c r="Q272" s="18">
        <f t="shared" si="20"/>
        <v>0.21804511278195488</v>
      </c>
      <c r="R272" s="18">
        <f t="shared" si="21"/>
        <v>0.05</v>
      </c>
      <c r="S272" s="1" t="str">
        <f t="shared" si="22"/>
        <v>Enterprise</v>
      </c>
      <c r="T272" s="18">
        <f t="shared" si="23"/>
        <v>0.78195488721804507</v>
      </c>
      <c r="U272" s="1" t="str">
        <f t="shared" si="24"/>
        <v>Profitable ✅</v>
      </c>
    </row>
    <row r="273" spans="1:21" x14ac:dyDescent="0.35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  <c r="Q273" s="18">
        <f t="shared" si="20"/>
        <v>0.12280701754385964</v>
      </c>
      <c r="R273" s="18">
        <f t="shared" si="21"/>
        <v>0.05</v>
      </c>
      <c r="S273" s="1" t="str">
        <f t="shared" si="22"/>
        <v>Enterprise</v>
      </c>
      <c r="T273" s="18">
        <f t="shared" si="23"/>
        <v>0.8771929824561403</v>
      </c>
      <c r="U273" s="1" t="str">
        <f t="shared" si="24"/>
        <v>Profitable ✅</v>
      </c>
    </row>
    <row r="274" spans="1:21" x14ac:dyDescent="0.35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  <c r="Q274" s="18">
        <f t="shared" si="20"/>
        <v>0.29078014184397166</v>
      </c>
      <c r="R274" s="18">
        <f t="shared" si="21"/>
        <v>5.9999999999999991E-2</v>
      </c>
      <c r="S274" s="1" t="str">
        <f t="shared" si="22"/>
        <v>Large</v>
      </c>
      <c r="T274" s="18">
        <f t="shared" si="23"/>
        <v>0.70921985815602828</v>
      </c>
      <c r="U274" s="1" t="str">
        <f t="shared" si="24"/>
        <v>Profitable ✅</v>
      </c>
    </row>
    <row r="275" spans="1:21" x14ac:dyDescent="0.35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  <c r="Q275" s="18">
        <f t="shared" si="20"/>
        <v>0.46808510638297873</v>
      </c>
      <c r="R275" s="18">
        <f t="shared" si="21"/>
        <v>0.06</v>
      </c>
      <c r="S275" s="1" t="str">
        <f t="shared" si="22"/>
        <v>Medium</v>
      </c>
      <c r="T275" s="18">
        <f t="shared" si="23"/>
        <v>0.53191489361702127</v>
      </c>
      <c r="U275" s="1" t="str">
        <f t="shared" si="24"/>
        <v>Profitable ✅</v>
      </c>
    </row>
    <row r="276" spans="1:21" x14ac:dyDescent="0.35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  <c r="Q276" s="18">
        <f t="shared" si="20"/>
        <v>0.29078014184397166</v>
      </c>
      <c r="R276" s="18">
        <f t="shared" si="21"/>
        <v>0.06</v>
      </c>
      <c r="S276" s="1" t="str">
        <f t="shared" si="22"/>
        <v>Medium</v>
      </c>
      <c r="T276" s="18">
        <f t="shared" si="23"/>
        <v>0.70921985815602839</v>
      </c>
      <c r="U276" s="1" t="str">
        <f t="shared" si="24"/>
        <v>Profitable ✅</v>
      </c>
    </row>
    <row r="277" spans="1:21" x14ac:dyDescent="0.35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  <c r="Q277" s="18">
        <f t="shared" si="20"/>
        <v>0.73404255319148937</v>
      </c>
      <c r="R277" s="18">
        <f t="shared" si="21"/>
        <v>0.06</v>
      </c>
      <c r="S277" s="1" t="str">
        <f t="shared" si="22"/>
        <v>Small</v>
      </c>
      <c r="T277" s="18">
        <f t="shared" si="23"/>
        <v>0.26595744680851063</v>
      </c>
      <c r="U277" s="1" t="str">
        <f t="shared" si="24"/>
        <v>Profitable ✅</v>
      </c>
    </row>
    <row r="278" spans="1:21" x14ac:dyDescent="0.35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  <c r="Q278" s="18">
        <f t="shared" si="20"/>
        <v>0.73404255319148937</v>
      </c>
      <c r="R278" s="18">
        <f t="shared" si="21"/>
        <v>0.06</v>
      </c>
      <c r="S278" s="1" t="str">
        <f t="shared" si="22"/>
        <v>Medium</v>
      </c>
      <c r="T278" s="18">
        <f t="shared" si="23"/>
        <v>0.26595744680851063</v>
      </c>
      <c r="U278" s="1" t="str">
        <f t="shared" si="24"/>
        <v>Profitable ✅</v>
      </c>
    </row>
    <row r="279" spans="1:21" x14ac:dyDescent="0.35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  <c r="Q279" s="18">
        <f t="shared" si="20"/>
        <v>0.29078014184397161</v>
      </c>
      <c r="R279" s="18">
        <f t="shared" si="21"/>
        <v>0.06</v>
      </c>
      <c r="S279" s="1" t="str">
        <f t="shared" si="22"/>
        <v>Medium</v>
      </c>
      <c r="T279" s="18">
        <f t="shared" si="23"/>
        <v>0.70921985815602839</v>
      </c>
      <c r="U279" s="1" t="str">
        <f t="shared" si="24"/>
        <v>Profitable ✅</v>
      </c>
    </row>
    <row r="280" spans="1:21" x14ac:dyDescent="0.35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  <c r="Q280" s="18">
        <f t="shared" si="20"/>
        <v>0.24012158054711244</v>
      </c>
      <c r="R280" s="18">
        <f t="shared" si="21"/>
        <v>0.06</v>
      </c>
      <c r="S280" s="1" t="str">
        <f t="shared" si="22"/>
        <v>Small</v>
      </c>
      <c r="T280" s="18">
        <f t="shared" si="23"/>
        <v>0.75987841945288759</v>
      </c>
      <c r="U280" s="1" t="str">
        <f t="shared" si="24"/>
        <v>Profitable ✅</v>
      </c>
    </row>
    <row r="281" spans="1:21" x14ac:dyDescent="0.35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  <c r="Q281" s="18">
        <f t="shared" si="20"/>
        <v>-2.1276595744680851E-2</v>
      </c>
      <c r="R281" s="18">
        <f t="shared" si="21"/>
        <v>0.06</v>
      </c>
      <c r="S281" s="1" t="str">
        <f t="shared" si="22"/>
        <v>Large</v>
      </c>
      <c r="T281" s="18">
        <f t="shared" si="23"/>
        <v>1.0212765957446808</v>
      </c>
      <c r="U281" s="1" t="str">
        <f t="shared" si="24"/>
        <v>Loss ❌</v>
      </c>
    </row>
    <row r="282" spans="1:21" x14ac:dyDescent="0.35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  <c r="Q282" s="18">
        <f t="shared" si="20"/>
        <v>0.20972644376899696</v>
      </c>
      <c r="R282" s="18">
        <f t="shared" si="21"/>
        <v>0.06</v>
      </c>
      <c r="S282" s="1" t="str">
        <f t="shared" si="22"/>
        <v>Enterprise</v>
      </c>
      <c r="T282" s="18">
        <f t="shared" si="23"/>
        <v>0.79027355623100304</v>
      </c>
      <c r="U282" s="1" t="str">
        <f t="shared" si="24"/>
        <v>Profitable ✅</v>
      </c>
    </row>
    <row r="283" spans="1:21" x14ac:dyDescent="0.35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  <c r="Q283" s="18">
        <f t="shared" si="20"/>
        <v>0.20972644376899696</v>
      </c>
      <c r="R283" s="18">
        <f t="shared" si="21"/>
        <v>0.06</v>
      </c>
      <c r="S283" s="1" t="str">
        <f t="shared" si="22"/>
        <v>Enterprise</v>
      </c>
      <c r="T283" s="18">
        <f t="shared" si="23"/>
        <v>0.79027355623100304</v>
      </c>
      <c r="U283" s="1" t="str">
        <f t="shared" si="24"/>
        <v>Profitable ✅</v>
      </c>
    </row>
    <row r="284" spans="1:21" x14ac:dyDescent="0.35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  <c r="Q284" s="18">
        <f t="shared" si="20"/>
        <v>0.24012158054711244</v>
      </c>
      <c r="R284" s="18">
        <f t="shared" si="21"/>
        <v>0.06</v>
      </c>
      <c r="S284" s="1" t="str">
        <f t="shared" si="22"/>
        <v>Small</v>
      </c>
      <c r="T284" s="18">
        <f t="shared" si="23"/>
        <v>0.75987841945288759</v>
      </c>
      <c r="U284" s="1" t="str">
        <f t="shared" si="24"/>
        <v>Profitable ✅</v>
      </c>
    </row>
    <row r="285" spans="1:21" x14ac:dyDescent="0.35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  <c r="Q285" s="18">
        <f t="shared" si="20"/>
        <v>0.73404255319148937</v>
      </c>
      <c r="R285" s="18">
        <f t="shared" si="21"/>
        <v>0.06</v>
      </c>
      <c r="S285" s="1" t="str">
        <f t="shared" si="22"/>
        <v>Medium</v>
      </c>
      <c r="T285" s="18">
        <f t="shared" si="23"/>
        <v>0.26595744680851063</v>
      </c>
      <c r="U285" s="1" t="str">
        <f t="shared" si="24"/>
        <v>Profitable ✅</v>
      </c>
    </row>
    <row r="286" spans="1:21" x14ac:dyDescent="0.35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  <c r="Q286" s="18">
        <f t="shared" si="20"/>
        <v>0.20972644376899696</v>
      </c>
      <c r="R286" s="18">
        <f t="shared" si="21"/>
        <v>0.06</v>
      </c>
      <c r="S286" s="1" t="str">
        <f t="shared" si="22"/>
        <v>Enterprise</v>
      </c>
      <c r="T286" s="18">
        <f t="shared" si="23"/>
        <v>0.79027355623100304</v>
      </c>
      <c r="U286" s="1" t="str">
        <f t="shared" si="24"/>
        <v>Profitable ✅</v>
      </c>
    </row>
    <row r="287" spans="1:21" x14ac:dyDescent="0.35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  <c r="Q287" s="18">
        <f t="shared" si="20"/>
        <v>0.73404255319148937</v>
      </c>
      <c r="R287" s="18">
        <f t="shared" si="21"/>
        <v>0.06</v>
      </c>
      <c r="S287" s="1" t="str">
        <f t="shared" si="22"/>
        <v>Medium</v>
      </c>
      <c r="T287" s="18">
        <f t="shared" si="23"/>
        <v>0.26595744680851063</v>
      </c>
      <c r="U287" s="1" t="str">
        <f t="shared" si="24"/>
        <v>Profitable ✅</v>
      </c>
    </row>
    <row r="288" spans="1:21" x14ac:dyDescent="0.35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  <c r="Q288" s="18">
        <f t="shared" si="20"/>
        <v>0.20972644376899696</v>
      </c>
      <c r="R288" s="18">
        <f t="shared" si="21"/>
        <v>0.06</v>
      </c>
      <c r="S288" s="1" t="str">
        <f t="shared" si="22"/>
        <v>Enterprise</v>
      </c>
      <c r="T288" s="18">
        <f t="shared" si="23"/>
        <v>0.79027355623100304</v>
      </c>
      <c r="U288" s="1" t="str">
        <f t="shared" si="24"/>
        <v>Profitable ✅</v>
      </c>
    </row>
    <row r="289" spans="1:21" x14ac:dyDescent="0.35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  <c r="Q289" s="18">
        <f t="shared" si="20"/>
        <v>-2.1276595744680851E-2</v>
      </c>
      <c r="R289" s="18">
        <f t="shared" si="21"/>
        <v>0.06</v>
      </c>
      <c r="S289" s="1" t="str">
        <f t="shared" si="22"/>
        <v>Large</v>
      </c>
      <c r="T289" s="18">
        <f t="shared" si="23"/>
        <v>1.0212765957446808</v>
      </c>
      <c r="U289" s="1" t="str">
        <f t="shared" si="24"/>
        <v>Loss ❌</v>
      </c>
    </row>
    <row r="290" spans="1:21" x14ac:dyDescent="0.35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  <c r="Q290" s="18">
        <f t="shared" si="20"/>
        <v>-2.1276595744680851E-2</v>
      </c>
      <c r="R290" s="18">
        <f t="shared" si="21"/>
        <v>0.06</v>
      </c>
      <c r="S290" s="1" t="str">
        <f t="shared" si="22"/>
        <v>Enterprise</v>
      </c>
      <c r="T290" s="18">
        <f t="shared" si="23"/>
        <v>1.0212765957446808</v>
      </c>
      <c r="U290" s="1" t="str">
        <f t="shared" si="24"/>
        <v>Loss ❌</v>
      </c>
    </row>
    <row r="291" spans="1:21" x14ac:dyDescent="0.35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  <c r="Q291" s="18">
        <f t="shared" si="20"/>
        <v>0.29078014184397161</v>
      </c>
      <c r="R291" s="18">
        <f t="shared" si="21"/>
        <v>0.06</v>
      </c>
      <c r="S291" s="1" t="str">
        <f t="shared" si="22"/>
        <v>Medium</v>
      </c>
      <c r="T291" s="18">
        <f t="shared" si="23"/>
        <v>0.70921985815602839</v>
      </c>
      <c r="U291" s="1" t="str">
        <f t="shared" si="24"/>
        <v>Profitable ✅</v>
      </c>
    </row>
    <row r="292" spans="1:21" x14ac:dyDescent="0.35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  <c r="Q292" s="18">
        <f t="shared" si="20"/>
        <v>0.20972644376899696</v>
      </c>
      <c r="R292" s="18">
        <f t="shared" si="21"/>
        <v>0.06</v>
      </c>
      <c r="S292" s="1" t="str">
        <f t="shared" si="22"/>
        <v>Enterprise</v>
      </c>
      <c r="T292" s="18">
        <f t="shared" si="23"/>
        <v>0.79027355623100304</v>
      </c>
      <c r="U292" s="1" t="str">
        <f t="shared" si="24"/>
        <v>Profitable ✅</v>
      </c>
    </row>
    <row r="293" spans="1:21" x14ac:dyDescent="0.35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  <c r="Q293" s="18">
        <f t="shared" si="20"/>
        <v>0.24012158054711247</v>
      </c>
      <c r="R293" s="18">
        <f t="shared" si="21"/>
        <v>0.06</v>
      </c>
      <c r="S293" s="1" t="str">
        <f t="shared" si="22"/>
        <v>Small</v>
      </c>
      <c r="T293" s="18">
        <f t="shared" si="23"/>
        <v>0.75987841945288748</v>
      </c>
      <c r="U293" s="1" t="str">
        <f t="shared" si="24"/>
        <v>Profitable ✅</v>
      </c>
    </row>
    <row r="294" spans="1:21" x14ac:dyDescent="0.35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  <c r="Q294" s="18">
        <f t="shared" si="20"/>
        <v>0.11347517730496454</v>
      </c>
      <c r="R294" s="18">
        <f t="shared" si="21"/>
        <v>0.06</v>
      </c>
      <c r="S294" s="1" t="str">
        <f t="shared" si="22"/>
        <v>Enterprise</v>
      </c>
      <c r="T294" s="18">
        <f t="shared" si="23"/>
        <v>0.88652482269503541</v>
      </c>
      <c r="U294" s="1" t="str">
        <f t="shared" si="24"/>
        <v>Profitable ✅</v>
      </c>
    </row>
    <row r="295" spans="1:21" x14ac:dyDescent="0.35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  <c r="Q295" s="18">
        <f t="shared" si="20"/>
        <v>0.20972644376899696</v>
      </c>
      <c r="R295" s="18">
        <f t="shared" si="21"/>
        <v>0.06</v>
      </c>
      <c r="S295" s="1" t="str">
        <f t="shared" si="22"/>
        <v>Enterprise</v>
      </c>
      <c r="T295" s="18">
        <f t="shared" si="23"/>
        <v>0.79027355623100304</v>
      </c>
      <c r="U295" s="1" t="str">
        <f t="shared" si="24"/>
        <v>Profitable ✅</v>
      </c>
    </row>
    <row r="296" spans="1:21" x14ac:dyDescent="0.35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  <c r="Q296" s="18">
        <f t="shared" si="20"/>
        <v>0.29078014184397166</v>
      </c>
      <c r="R296" s="18">
        <f t="shared" si="21"/>
        <v>0.06</v>
      </c>
      <c r="S296" s="1" t="str">
        <f t="shared" si="22"/>
        <v>Medium</v>
      </c>
      <c r="T296" s="18">
        <f t="shared" si="23"/>
        <v>0.70921985815602839</v>
      </c>
      <c r="U296" s="1" t="str">
        <f t="shared" si="24"/>
        <v>Profitable ✅</v>
      </c>
    </row>
    <row r="297" spans="1:21" x14ac:dyDescent="0.35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  <c r="Q297" s="18">
        <f t="shared" si="20"/>
        <v>0.24012158054711247</v>
      </c>
      <c r="R297" s="18">
        <f t="shared" si="21"/>
        <v>0.06</v>
      </c>
      <c r="S297" s="1" t="str">
        <f t="shared" si="22"/>
        <v>Small</v>
      </c>
      <c r="T297" s="18">
        <f t="shared" si="23"/>
        <v>0.75987841945288748</v>
      </c>
      <c r="U297" s="1" t="str">
        <f t="shared" si="24"/>
        <v>Profitable ✅</v>
      </c>
    </row>
    <row r="298" spans="1:21" x14ac:dyDescent="0.35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  <c r="Q298" s="18">
        <f t="shared" si="20"/>
        <v>0.11347517730496454</v>
      </c>
      <c r="R298" s="18">
        <f t="shared" si="21"/>
        <v>0.06</v>
      </c>
      <c r="S298" s="1" t="str">
        <f t="shared" si="22"/>
        <v>Enterprise</v>
      </c>
      <c r="T298" s="18">
        <f t="shared" si="23"/>
        <v>0.88652482269503541</v>
      </c>
      <c r="U298" s="1" t="str">
        <f t="shared" si="24"/>
        <v>Profitable ✅</v>
      </c>
    </row>
    <row r="299" spans="1:21" x14ac:dyDescent="0.35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  <c r="Q299" s="18">
        <f t="shared" si="20"/>
        <v>0.46808510638297873</v>
      </c>
      <c r="R299" s="18">
        <f t="shared" si="21"/>
        <v>0.06</v>
      </c>
      <c r="S299" s="1" t="str">
        <f t="shared" si="22"/>
        <v>Medium</v>
      </c>
      <c r="T299" s="18">
        <f t="shared" si="23"/>
        <v>0.53191489361702127</v>
      </c>
      <c r="U299" s="1" t="str">
        <f t="shared" si="24"/>
        <v>Profitable ✅</v>
      </c>
    </row>
    <row r="300" spans="1:21" x14ac:dyDescent="0.35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  <c r="Q300" s="18">
        <f t="shared" si="20"/>
        <v>0.11347517730496454</v>
      </c>
      <c r="R300" s="18">
        <f t="shared" si="21"/>
        <v>0.06</v>
      </c>
      <c r="S300" s="1" t="str">
        <f t="shared" si="22"/>
        <v>Enterprise</v>
      </c>
      <c r="T300" s="18">
        <f t="shared" si="23"/>
        <v>0.88652482269503541</v>
      </c>
      <c r="U300" s="1" t="str">
        <f t="shared" si="24"/>
        <v>Profitable ✅</v>
      </c>
    </row>
    <row r="301" spans="1:21" x14ac:dyDescent="0.35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  <c r="Q301" s="18">
        <f t="shared" si="20"/>
        <v>-2.1276595744680851E-2</v>
      </c>
      <c r="R301" s="18">
        <f t="shared" si="21"/>
        <v>0.06</v>
      </c>
      <c r="S301" s="1" t="str">
        <f t="shared" si="22"/>
        <v>Enterprise</v>
      </c>
      <c r="T301" s="18">
        <f t="shared" si="23"/>
        <v>1.0212765957446808</v>
      </c>
      <c r="U301" s="1" t="str">
        <f t="shared" si="24"/>
        <v>Loss ❌</v>
      </c>
    </row>
    <row r="302" spans="1:21" x14ac:dyDescent="0.35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  <c r="Q302" s="18">
        <f t="shared" si="20"/>
        <v>0.20972644376899696</v>
      </c>
      <c r="R302" s="18">
        <f t="shared" si="21"/>
        <v>0.06</v>
      </c>
      <c r="S302" s="1" t="str">
        <f t="shared" si="22"/>
        <v>Enterprise</v>
      </c>
      <c r="T302" s="18">
        <f t="shared" si="23"/>
        <v>0.79027355623100304</v>
      </c>
      <c r="U302" s="1" t="str">
        <f t="shared" si="24"/>
        <v>Profitable ✅</v>
      </c>
    </row>
    <row r="303" spans="1:21" x14ac:dyDescent="0.35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  <c r="Q303" s="18">
        <f t="shared" si="20"/>
        <v>0.20972644376899696</v>
      </c>
      <c r="R303" s="18">
        <f t="shared" si="21"/>
        <v>0.06</v>
      </c>
      <c r="S303" s="1" t="str">
        <f t="shared" si="22"/>
        <v>Enterprise</v>
      </c>
      <c r="T303" s="18">
        <f t="shared" si="23"/>
        <v>0.79027355623100304</v>
      </c>
      <c r="U303" s="1" t="str">
        <f t="shared" si="24"/>
        <v>Profitable ✅</v>
      </c>
    </row>
    <row r="304" spans="1:21" x14ac:dyDescent="0.35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  <c r="Q304" s="18">
        <f t="shared" si="20"/>
        <v>0.24012158054711244</v>
      </c>
      <c r="R304" s="18">
        <f t="shared" si="21"/>
        <v>0.06</v>
      </c>
      <c r="S304" s="1" t="str">
        <f t="shared" si="22"/>
        <v>Small</v>
      </c>
      <c r="T304" s="18">
        <f t="shared" si="23"/>
        <v>0.75987841945288759</v>
      </c>
      <c r="U304" s="1" t="str">
        <f t="shared" si="24"/>
        <v>Profitable ✅</v>
      </c>
    </row>
    <row r="305" spans="1:21" x14ac:dyDescent="0.35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  <c r="Q305" s="18">
        <f t="shared" si="20"/>
        <v>0.20972644376899696</v>
      </c>
      <c r="R305" s="18">
        <f t="shared" si="21"/>
        <v>0.06</v>
      </c>
      <c r="S305" s="1" t="str">
        <f t="shared" si="22"/>
        <v>Enterprise</v>
      </c>
      <c r="T305" s="18">
        <f t="shared" si="23"/>
        <v>0.79027355623100304</v>
      </c>
      <c r="U305" s="1" t="str">
        <f t="shared" si="24"/>
        <v>Profitable ✅</v>
      </c>
    </row>
    <row r="306" spans="1:21" x14ac:dyDescent="0.35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  <c r="Q306" s="18">
        <f t="shared" si="20"/>
        <v>0.46808510638297868</v>
      </c>
      <c r="R306" s="18">
        <f t="shared" si="21"/>
        <v>6.0000000000000005E-2</v>
      </c>
      <c r="S306" s="1" t="str">
        <f t="shared" si="22"/>
        <v>Medium</v>
      </c>
      <c r="T306" s="18">
        <f t="shared" si="23"/>
        <v>0.53191489361702127</v>
      </c>
      <c r="U306" s="1" t="str">
        <f t="shared" si="24"/>
        <v>Profitable ✅</v>
      </c>
    </row>
    <row r="307" spans="1:21" x14ac:dyDescent="0.35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  <c r="Q307" s="18">
        <f t="shared" si="20"/>
        <v>0.29078014184397161</v>
      </c>
      <c r="R307" s="18">
        <f t="shared" si="21"/>
        <v>6.0000000000000005E-2</v>
      </c>
      <c r="S307" s="1" t="str">
        <f t="shared" si="22"/>
        <v>Medium</v>
      </c>
      <c r="T307" s="18">
        <f t="shared" si="23"/>
        <v>0.70921985815602839</v>
      </c>
      <c r="U307" s="1" t="str">
        <f t="shared" si="24"/>
        <v>Profitable ✅</v>
      </c>
    </row>
    <row r="308" spans="1:21" x14ac:dyDescent="0.35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  <c r="Q308" s="18">
        <f t="shared" si="20"/>
        <v>0.29078014184397161</v>
      </c>
      <c r="R308" s="18">
        <f t="shared" si="21"/>
        <v>6.0000000000000005E-2</v>
      </c>
      <c r="S308" s="1" t="str">
        <f t="shared" si="22"/>
        <v>Medium</v>
      </c>
      <c r="T308" s="18">
        <f t="shared" si="23"/>
        <v>0.70921985815602839</v>
      </c>
      <c r="U308" s="1" t="str">
        <f t="shared" si="24"/>
        <v>Profitable ✅</v>
      </c>
    </row>
    <row r="309" spans="1:21" x14ac:dyDescent="0.35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  <c r="Q309" s="18">
        <f t="shared" si="20"/>
        <v>0.29078014184397161</v>
      </c>
      <c r="R309" s="18">
        <f t="shared" si="21"/>
        <v>6.0000000000000005E-2</v>
      </c>
      <c r="S309" s="1" t="str">
        <f t="shared" si="22"/>
        <v>Medium</v>
      </c>
      <c r="T309" s="18">
        <f t="shared" si="23"/>
        <v>0.70921985815602839</v>
      </c>
      <c r="U309" s="1" t="str">
        <f t="shared" si="24"/>
        <v>Profitable ✅</v>
      </c>
    </row>
    <row r="310" spans="1:21" x14ac:dyDescent="0.35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  <c r="Q310" s="18">
        <f t="shared" si="20"/>
        <v>0.46808510638297868</v>
      </c>
      <c r="R310" s="18">
        <f t="shared" si="21"/>
        <v>6.0000000000000005E-2</v>
      </c>
      <c r="S310" s="1" t="str">
        <f t="shared" si="22"/>
        <v>Medium</v>
      </c>
      <c r="T310" s="18">
        <f t="shared" si="23"/>
        <v>0.53191489361702127</v>
      </c>
      <c r="U310" s="1" t="str">
        <f t="shared" si="24"/>
        <v>Profitable ✅</v>
      </c>
    </row>
    <row r="311" spans="1:21" x14ac:dyDescent="0.35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  <c r="Q311" s="18">
        <f t="shared" si="20"/>
        <v>0.46808510638297868</v>
      </c>
      <c r="R311" s="18">
        <f t="shared" si="21"/>
        <v>6.0000000000000005E-2</v>
      </c>
      <c r="S311" s="1" t="str">
        <f t="shared" si="22"/>
        <v>Medium</v>
      </c>
      <c r="T311" s="18">
        <f t="shared" si="23"/>
        <v>0.53191489361702127</v>
      </c>
      <c r="U311" s="1" t="str">
        <f t="shared" si="24"/>
        <v>Profitable ✅</v>
      </c>
    </row>
    <row r="312" spans="1:21" x14ac:dyDescent="0.35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  <c r="Q312" s="18">
        <f t="shared" si="20"/>
        <v>0.24012158054711241</v>
      </c>
      <c r="R312" s="18">
        <f t="shared" si="21"/>
        <v>6.0000000000000005E-2</v>
      </c>
      <c r="S312" s="1" t="str">
        <f t="shared" si="22"/>
        <v>Small</v>
      </c>
      <c r="T312" s="18">
        <f t="shared" si="23"/>
        <v>0.75987841945288759</v>
      </c>
      <c r="U312" s="1" t="str">
        <f t="shared" si="24"/>
        <v>Profitable ✅</v>
      </c>
    </row>
    <row r="313" spans="1:21" x14ac:dyDescent="0.35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  <c r="Q313" s="18">
        <f t="shared" si="20"/>
        <v>0.29078014184397161</v>
      </c>
      <c r="R313" s="18">
        <f t="shared" si="21"/>
        <v>6.0000000000000005E-2</v>
      </c>
      <c r="S313" s="1" t="str">
        <f t="shared" si="22"/>
        <v>Medium</v>
      </c>
      <c r="T313" s="18">
        <f t="shared" si="23"/>
        <v>0.70921985815602839</v>
      </c>
      <c r="U313" s="1" t="str">
        <f t="shared" si="24"/>
        <v>Profitable ✅</v>
      </c>
    </row>
    <row r="314" spans="1:21" x14ac:dyDescent="0.35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  <c r="Q314" s="18">
        <f t="shared" si="20"/>
        <v>0.73118279569892475</v>
      </c>
      <c r="R314" s="18">
        <f t="shared" si="21"/>
        <v>6.9999999999999993E-2</v>
      </c>
      <c r="S314" s="1" t="str">
        <f t="shared" si="22"/>
        <v>Small</v>
      </c>
      <c r="T314" s="18">
        <f t="shared" si="23"/>
        <v>0.26881720430107525</v>
      </c>
      <c r="U314" s="1" t="str">
        <f t="shared" si="24"/>
        <v>Profitable ✅</v>
      </c>
    </row>
    <row r="315" spans="1:21" x14ac:dyDescent="0.35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  <c r="Q315" s="18">
        <f t="shared" si="20"/>
        <v>0.73118279569892475</v>
      </c>
      <c r="R315" s="18">
        <f t="shared" si="21"/>
        <v>6.9999999999999993E-2</v>
      </c>
      <c r="S315" s="1" t="str">
        <f t="shared" si="22"/>
        <v>Medium</v>
      </c>
      <c r="T315" s="18">
        <f t="shared" si="23"/>
        <v>0.26881720430107531</v>
      </c>
      <c r="U315" s="1" t="str">
        <f t="shared" si="24"/>
        <v>Profitable ✅</v>
      </c>
    </row>
    <row r="316" spans="1:21" x14ac:dyDescent="0.35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  <c r="Q316" s="18">
        <f t="shared" si="20"/>
        <v>0.4623655913978495</v>
      </c>
      <c r="R316" s="18">
        <f t="shared" si="21"/>
        <v>6.9999999999999993E-2</v>
      </c>
      <c r="S316" s="1" t="str">
        <f t="shared" si="22"/>
        <v>Medium</v>
      </c>
      <c r="T316" s="18">
        <f t="shared" si="23"/>
        <v>0.5376344086021505</v>
      </c>
      <c r="U316" s="1" t="str">
        <f t="shared" si="24"/>
        <v>Profitable ✅</v>
      </c>
    </row>
    <row r="317" spans="1:21" x14ac:dyDescent="0.35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  <c r="Q317" s="18">
        <f t="shared" si="20"/>
        <v>0.73118279569892475</v>
      </c>
      <c r="R317" s="18">
        <f t="shared" si="21"/>
        <v>6.9999999999999993E-2</v>
      </c>
      <c r="S317" s="1" t="str">
        <f t="shared" si="22"/>
        <v>Medium</v>
      </c>
      <c r="T317" s="18">
        <f t="shared" si="23"/>
        <v>0.26881720430107525</v>
      </c>
      <c r="U317" s="1" t="str">
        <f t="shared" si="24"/>
        <v>Profitable ✅</v>
      </c>
    </row>
    <row r="318" spans="1:21" x14ac:dyDescent="0.35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  <c r="Q318" s="18">
        <f t="shared" si="20"/>
        <v>0.73118279569892475</v>
      </c>
      <c r="R318" s="18">
        <f t="shared" si="21"/>
        <v>6.9999999999999993E-2</v>
      </c>
      <c r="S318" s="1" t="str">
        <f t="shared" si="22"/>
        <v>Medium</v>
      </c>
      <c r="T318" s="18">
        <f t="shared" si="23"/>
        <v>0.26881720430107525</v>
      </c>
      <c r="U318" s="1" t="str">
        <f t="shared" si="24"/>
        <v>Profitable ✅</v>
      </c>
    </row>
    <row r="319" spans="1:21" x14ac:dyDescent="0.35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  <c r="Q319" s="18">
        <f t="shared" si="20"/>
        <v>0.23195084485407072</v>
      </c>
      <c r="R319" s="18">
        <f t="shared" si="21"/>
        <v>6.9999999999999993E-2</v>
      </c>
      <c r="S319" s="1" t="str">
        <f t="shared" si="22"/>
        <v>Small</v>
      </c>
      <c r="T319" s="18">
        <f t="shared" si="23"/>
        <v>0.76804915514592931</v>
      </c>
      <c r="U319" s="1" t="str">
        <f t="shared" si="24"/>
        <v>Profitable ✅</v>
      </c>
    </row>
    <row r="320" spans="1:21" x14ac:dyDescent="0.35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  <c r="Q320" s="18">
        <f t="shared" si="20"/>
        <v>0.28315412186379935</v>
      </c>
      <c r="R320" s="18">
        <f t="shared" si="21"/>
        <v>6.9999999999999993E-2</v>
      </c>
      <c r="S320" s="1" t="str">
        <f t="shared" si="22"/>
        <v>Medium</v>
      </c>
      <c r="T320" s="18">
        <f t="shared" si="23"/>
        <v>0.71684587813620071</v>
      </c>
      <c r="U320" s="1" t="str">
        <f t="shared" si="24"/>
        <v>Profitable ✅</v>
      </c>
    </row>
    <row r="321" spans="1:21" x14ac:dyDescent="0.35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  <c r="Q321" s="18">
        <f t="shared" si="20"/>
        <v>0.23195084485407069</v>
      </c>
      <c r="R321" s="18">
        <f t="shared" si="21"/>
        <v>6.9999999999999993E-2</v>
      </c>
      <c r="S321" s="1" t="str">
        <f t="shared" si="22"/>
        <v>Small</v>
      </c>
      <c r="T321" s="18">
        <f t="shared" si="23"/>
        <v>0.76804915514592931</v>
      </c>
      <c r="U321" s="1" t="str">
        <f t="shared" si="24"/>
        <v>Profitable ✅</v>
      </c>
    </row>
    <row r="322" spans="1:21" x14ac:dyDescent="0.35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  <c r="Q322" s="18">
        <f t="shared" ref="Q322:Q385" si="25">IF(J322=0,0,L322/J322)</f>
        <v>0.23195084485407072</v>
      </c>
      <c r="R322" s="18">
        <f t="shared" ref="R322:R385" si="26">IF(H322=0,0, I322/H322)</f>
        <v>6.9999999999999993E-2</v>
      </c>
      <c r="S322" s="1" t="str">
        <f t="shared" ref="S322:S385" si="27">IF(J322&lt;10000,"Small",IF(J322&lt;50000,"Medium",IF(J322&lt;200000,"Large","Enterprise")))</f>
        <v>Small</v>
      </c>
      <c r="T322" s="18">
        <f t="shared" ref="T322:T385" si="28">IF(J322=0,0,K322/J322)</f>
        <v>0.76804915514592931</v>
      </c>
      <c r="U322" s="1" t="str">
        <f t="shared" ref="U322:U385" si="29">IFERROR(IF(L322&gt;0,"Profitable ✅",IF(L322=0,"Breakeven ⚖️","Loss ❌")),"Check Data 📊")</f>
        <v>Profitable ✅</v>
      </c>
    </row>
    <row r="323" spans="1:21" x14ac:dyDescent="0.35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  <c r="Q323" s="18">
        <f t="shared" si="25"/>
        <v>0.23195084485407064</v>
      </c>
      <c r="R323" s="18">
        <f t="shared" si="26"/>
        <v>6.9999999999999993E-2</v>
      </c>
      <c r="S323" s="1" t="str">
        <f t="shared" si="27"/>
        <v>Medium</v>
      </c>
      <c r="T323" s="18">
        <f t="shared" si="28"/>
        <v>0.76804915514592931</v>
      </c>
      <c r="U323" s="1" t="str">
        <f t="shared" si="29"/>
        <v>Profitable ✅</v>
      </c>
    </row>
    <row r="324" spans="1:21" x14ac:dyDescent="0.35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  <c r="Q324" s="18">
        <f t="shared" si="25"/>
        <v>0.73118279569892475</v>
      </c>
      <c r="R324" s="18">
        <f t="shared" si="26"/>
        <v>6.9999999999999993E-2</v>
      </c>
      <c r="S324" s="1" t="str">
        <f t="shared" si="27"/>
        <v>Medium</v>
      </c>
      <c r="T324" s="18">
        <f t="shared" si="28"/>
        <v>0.26881720430107525</v>
      </c>
      <c r="U324" s="1" t="str">
        <f t="shared" si="29"/>
        <v>Profitable ✅</v>
      </c>
    </row>
    <row r="325" spans="1:21" x14ac:dyDescent="0.35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  <c r="Q325" s="18">
        <f t="shared" si="25"/>
        <v>0.73118279569892475</v>
      </c>
      <c r="R325" s="18">
        <f t="shared" si="26"/>
        <v>6.9999999999999993E-2</v>
      </c>
      <c r="S325" s="1" t="str">
        <f t="shared" si="27"/>
        <v>Medium</v>
      </c>
      <c r="T325" s="18">
        <f t="shared" si="28"/>
        <v>0.26881720430107525</v>
      </c>
      <c r="U325" s="1" t="str">
        <f t="shared" si="29"/>
        <v>Profitable ✅</v>
      </c>
    </row>
    <row r="326" spans="1:21" x14ac:dyDescent="0.35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  <c r="Q326" s="18">
        <f t="shared" si="25"/>
        <v>0.23195084485407064</v>
      </c>
      <c r="R326" s="18">
        <f t="shared" si="26"/>
        <v>6.9999999999999993E-2</v>
      </c>
      <c r="S326" s="1" t="str">
        <f t="shared" si="27"/>
        <v>Medium</v>
      </c>
      <c r="T326" s="18">
        <f t="shared" si="28"/>
        <v>0.76804915514592931</v>
      </c>
      <c r="U326" s="1" t="str">
        <f t="shared" si="29"/>
        <v>Profitable ✅</v>
      </c>
    </row>
    <row r="327" spans="1:21" x14ac:dyDescent="0.35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  <c r="Q327" s="18">
        <f t="shared" si="25"/>
        <v>0.23195084485407069</v>
      </c>
      <c r="R327" s="18">
        <f t="shared" si="26"/>
        <v>6.9999999999999993E-2</v>
      </c>
      <c r="S327" s="1" t="str">
        <f t="shared" si="27"/>
        <v>Small</v>
      </c>
      <c r="T327" s="18">
        <f t="shared" si="28"/>
        <v>0.76804915514592931</v>
      </c>
      <c r="U327" s="1" t="str">
        <f t="shared" si="29"/>
        <v>Profitable ✅</v>
      </c>
    </row>
    <row r="328" spans="1:21" x14ac:dyDescent="0.35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  <c r="Q328" s="18">
        <f t="shared" si="25"/>
        <v>0.20122887864823349</v>
      </c>
      <c r="R328" s="18">
        <f t="shared" si="26"/>
        <v>7.0000000000000007E-2</v>
      </c>
      <c r="S328" s="1" t="str">
        <f t="shared" si="27"/>
        <v>Enterprise</v>
      </c>
      <c r="T328" s="18">
        <f t="shared" si="28"/>
        <v>0.79877112135176653</v>
      </c>
      <c r="U328" s="1" t="str">
        <f t="shared" si="29"/>
        <v>Profitable ✅</v>
      </c>
    </row>
    <row r="329" spans="1:21" x14ac:dyDescent="0.35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  <c r="Q329" s="18">
        <f t="shared" si="25"/>
        <v>0.1039426523297491</v>
      </c>
      <c r="R329" s="18">
        <f t="shared" si="26"/>
        <v>7.0000000000000007E-2</v>
      </c>
      <c r="S329" s="1" t="str">
        <f t="shared" si="27"/>
        <v>Large</v>
      </c>
      <c r="T329" s="18">
        <f t="shared" si="28"/>
        <v>0.89605734767025091</v>
      </c>
      <c r="U329" s="1" t="str">
        <f t="shared" si="29"/>
        <v>Profitable ✅</v>
      </c>
    </row>
    <row r="330" spans="1:21" x14ac:dyDescent="0.35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  <c r="Q330" s="18">
        <f t="shared" si="25"/>
        <v>0.1039426523297491</v>
      </c>
      <c r="R330" s="18">
        <f t="shared" si="26"/>
        <v>7.0000000000000007E-2</v>
      </c>
      <c r="S330" s="1" t="str">
        <f t="shared" si="27"/>
        <v>Enterprise</v>
      </c>
      <c r="T330" s="18">
        <f t="shared" si="28"/>
        <v>0.89605734767025091</v>
      </c>
      <c r="U330" s="1" t="str">
        <f t="shared" si="29"/>
        <v>Profitable ✅</v>
      </c>
    </row>
    <row r="331" spans="1:21" x14ac:dyDescent="0.35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  <c r="Q331" s="18">
        <f t="shared" si="25"/>
        <v>0.46236559139784944</v>
      </c>
      <c r="R331" s="18">
        <f t="shared" si="26"/>
        <v>7.0000000000000007E-2</v>
      </c>
      <c r="S331" s="1" t="str">
        <f t="shared" si="27"/>
        <v>Medium</v>
      </c>
      <c r="T331" s="18">
        <f t="shared" si="28"/>
        <v>0.5376344086021505</v>
      </c>
      <c r="U331" s="1" t="str">
        <f t="shared" si="29"/>
        <v>Profitable ✅</v>
      </c>
    </row>
    <row r="332" spans="1:21" x14ac:dyDescent="0.35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  <c r="Q332" s="18">
        <f t="shared" si="25"/>
        <v>0.1039426523297491</v>
      </c>
      <c r="R332" s="18">
        <f t="shared" si="26"/>
        <v>7.0000000000000007E-2</v>
      </c>
      <c r="S332" s="1" t="str">
        <f t="shared" si="27"/>
        <v>Enterprise</v>
      </c>
      <c r="T332" s="18">
        <f t="shared" si="28"/>
        <v>0.89605734767025091</v>
      </c>
      <c r="U332" s="1" t="str">
        <f t="shared" si="29"/>
        <v>Profitable ✅</v>
      </c>
    </row>
    <row r="333" spans="1:21" x14ac:dyDescent="0.35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  <c r="Q333" s="18">
        <f t="shared" si="25"/>
        <v>-3.2258064516129031E-2</v>
      </c>
      <c r="R333" s="18">
        <f t="shared" si="26"/>
        <v>7.0000000000000007E-2</v>
      </c>
      <c r="S333" s="1" t="str">
        <f t="shared" si="27"/>
        <v>Enterprise</v>
      </c>
      <c r="T333" s="18">
        <f t="shared" si="28"/>
        <v>1.032258064516129</v>
      </c>
      <c r="U333" s="1" t="str">
        <f t="shared" si="29"/>
        <v>Loss ❌</v>
      </c>
    </row>
    <row r="334" spans="1:21" x14ac:dyDescent="0.35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  <c r="Q334" s="18">
        <f t="shared" si="25"/>
        <v>0.1039426523297491</v>
      </c>
      <c r="R334" s="18">
        <f t="shared" si="26"/>
        <v>7.0000000000000007E-2</v>
      </c>
      <c r="S334" s="1" t="str">
        <f t="shared" si="27"/>
        <v>Enterprise</v>
      </c>
      <c r="T334" s="18">
        <f t="shared" si="28"/>
        <v>0.89605734767025091</v>
      </c>
      <c r="U334" s="1" t="str">
        <f t="shared" si="29"/>
        <v>Profitable ✅</v>
      </c>
    </row>
    <row r="335" spans="1:21" x14ac:dyDescent="0.35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  <c r="Q335" s="18">
        <f t="shared" si="25"/>
        <v>0.1039426523297491</v>
      </c>
      <c r="R335" s="18">
        <f t="shared" si="26"/>
        <v>7.0000000000000007E-2</v>
      </c>
      <c r="S335" s="1" t="str">
        <f t="shared" si="27"/>
        <v>Large</v>
      </c>
      <c r="T335" s="18">
        <f t="shared" si="28"/>
        <v>0.89605734767025091</v>
      </c>
      <c r="U335" s="1" t="str">
        <f t="shared" si="29"/>
        <v>Profitable ✅</v>
      </c>
    </row>
    <row r="336" spans="1:21" x14ac:dyDescent="0.35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  <c r="Q336" s="18">
        <f t="shared" si="25"/>
        <v>-3.2258064516129031E-2</v>
      </c>
      <c r="R336" s="18">
        <f t="shared" si="26"/>
        <v>7.0000000000000007E-2</v>
      </c>
      <c r="S336" s="1" t="str">
        <f t="shared" si="27"/>
        <v>Enterprise</v>
      </c>
      <c r="T336" s="18">
        <f t="shared" si="28"/>
        <v>1.032258064516129</v>
      </c>
      <c r="U336" s="1" t="str">
        <f t="shared" si="29"/>
        <v>Loss ❌</v>
      </c>
    </row>
    <row r="337" spans="1:21" x14ac:dyDescent="0.35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  <c r="Q337" s="18">
        <f t="shared" si="25"/>
        <v>0.28315412186379929</v>
      </c>
      <c r="R337" s="18">
        <f t="shared" si="26"/>
        <v>7.0000000000000007E-2</v>
      </c>
      <c r="S337" s="1" t="str">
        <f t="shared" si="27"/>
        <v>Medium</v>
      </c>
      <c r="T337" s="18">
        <f t="shared" si="28"/>
        <v>0.71684587813620071</v>
      </c>
      <c r="U337" s="1" t="str">
        <f t="shared" si="29"/>
        <v>Profitable ✅</v>
      </c>
    </row>
    <row r="338" spans="1:21" x14ac:dyDescent="0.35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  <c r="Q338" s="18">
        <f t="shared" si="25"/>
        <v>0.28315412186379924</v>
      </c>
      <c r="R338" s="18">
        <f t="shared" si="26"/>
        <v>7.0000000000000007E-2</v>
      </c>
      <c r="S338" s="1" t="str">
        <f t="shared" si="27"/>
        <v>Medium</v>
      </c>
      <c r="T338" s="18">
        <f t="shared" si="28"/>
        <v>0.71684587813620082</v>
      </c>
      <c r="U338" s="1" t="str">
        <f t="shared" si="29"/>
        <v>Profitable ✅</v>
      </c>
    </row>
    <row r="339" spans="1:21" x14ac:dyDescent="0.35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  <c r="Q339" s="18">
        <f t="shared" si="25"/>
        <v>0.46236559139784944</v>
      </c>
      <c r="R339" s="18">
        <f t="shared" si="26"/>
        <v>7.0000000000000007E-2</v>
      </c>
      <c r="S339" s="1" t="str">
        <f t="shared" si="27"/>
        <v>Medium</v>
      </c>
      <c r="T339" s="18">
        <f t="shared" si="28"/>
        <v>0.5376344086021505</v>
      </c>
      <c r="U339" s="1" t="str">
        <f t="shared" si="29"/>
        <v>Profitable ✅</v>
      </c>
    </row>
    <row r="340" spans="1:21" x14ac:dyDescent="0.35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  <c r="Q340" s="18">
        <f t="shared" si="25"/>
        <v>0.1039426523297491</v>
      </c>
      <c r="R340" s="18">
        <f t="shared" si="26"/>
        <v>7.0000000000000007E-2</v>
      </c>
      <c r="S340" s="1" t="str">
        <f t="shared" si="27"/>
        <v>Enterprise</v>
      </c>
      <c r="T340" s="18">
        <f t="shared" si="28"/>
        <v>0.89605734767025091</v>
      </c>
      <c r="U340" s="1" t="str">
        <f t="shared" si="29"/>
        <v>Profitable ✅</v>
      </c>
    </row>
    <row r="341" spans="1:21" x14ac:dyDescent="0.35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  <c r="Q341" s="18">
        <f t="shared" si="25"/>
        <v>0.1039426523297491</v>
      </c>
      <c r="R341" s="18">
        <f t="shared" si="26"/>
        <v>7.0000000000000007E-2</v>
      </c>
      <c r="S341" s="1" t="str">
        <f t="shared" si="27"/>
        <v>Enterprise</v>
      </c>
      <c r="T341" s="18">
        <f t="shared" si="28"/>
        <v>0.89605734767025091</v>
      </c>
      <c r="U341" s="1" t="str">
        <f t="shared" si="29"/>
        <v>Profitable ✅</v>
      </c>
    </row>
    <row r="342" spans="1:21" x14ac:dyDescent="0.35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  <c r="Q342" s="18">
        <f t="shared" si="25"/>
        <v>0.73118279569892475</v>
      </c>
      <c r="R342" s="18">
        <f t="shared" si="26"/>
        <v>7.0000000000000007E-2</v>
      </c>
      <c r="S342" s="1" t="str">
        <f t="shared" si="27"/>
        <v>Medium</v>
      </c>
      <c r="T342" s="18">
        <f t="shared" si="28"/>
        <v>0.26881720430107525</v>
      </c>
      <c r="U342" s="1" t="str">
        <f t="shared" si="29"/>
        <v>Profitable ✅</v>
      </c>
    </row>
    <row r="343" spans="1:21" x14ac:dyDescent="0.35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  <c r="Q343" s="18">
        <f t="shared" si="25"/>
        <v>0.23195084485407066</v>
      </c>
      <c r="R343" s="18">
        <f t="shared" si="26"/>
        <v>7.0000000000000007E-2</v>
      </c>
      <c r="S343" s="1" t="str">
        <f t="shared" si="27"/>
        <v>Medium</v>
      </c>
      <c r="T343" s="18">
        <f t="shared" si="28"/>
        <v>0.76804915514592931</v>
      </c>
      <c r="U343" s="1" t="str">
        <f t="shared" si="29"/>
        <v>Profitable ✅</v>
      </c>
    </row>
    <row r="344" spans="1:21" x14ac:dyDescent="0.35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  <c r="Q344" s="18">
        <f t="shared" si="25"/>
        <v>0.1039426523297491</v>
      </c>
      <c r="R344" s="18">
        <f t="shared" si="26"/>
        <v>7.0000000000000007E-2</v>
      </c>
      <c r="S344" s="1" t="str">
        <f t="shared" si="27"/>
        <v>Enterprise</v>
      </c>
      <c r="T344" s="18">
        <f t="shared" si="28"/>
        <v>0.89605734767025091</v>
      </c>
      <c r="U344" s="1" t="str">
        <f t="shared" si="29"/>
        <v>Profitable ✅</v>
      </c>
    </row>
    <row r="345" spans="1:21" x14ac:dyDescent="0.35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  <c r="Q345" s="18">
        <f t="shared" si="25"/>
        <v>0.46236559139784944</v>
      </c>
      <c r="R345" s="18">
        <f t="shared" si="26"/>
        <v>7.0000000000000007E-2</v>
      </c>
      <c r="S345" s="1" t="str">
        <f t="shared" si="27"/>
        <v>Medium</v>
      </c>
      <c r="T345" s="18">
        <f t="shared" si="28"/>
        <v>0.5376344086021505</v>
      </c>
      <c r="U345" s="1" t="str">
        <f t="shared" si="29"/>
        <v>Profitable ✅</v>
      </c>
    </row>
    <row r="346" spans="1:21" x14ac:dyDescent="0.35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  <c r="Q346" s="18">
        <f t="shared" si="25"/>
        <v>-3.2258064516129031E-2</v>
      </c>
      <c r="R346" s="18">
        <f t="shared" si="26"/>
        <v>7.0000000000000007E-2</v>
      </c>
      <c r="S346" s="1" t="str">
        <f t="shared" si="27"/>
        <v>Enterprise</v>
      </c>
      <c r="T346" s="18">
        <f t="shared" si="28"/>
        <v>1.032258064516129</v>
      </c>
      <c r="U346" s="1" t="str">
        <f t="shared" si="29"/>
        <v>Loss ❌</v>
      </c>
    </row>
    <row r="347" spans="1:21" x14ac:dyDescent="0.35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  <c r="Q347" s="18">
        <f t="shared" si="25"/>
        <v>0.46236559139784944</v>
      </c>
      <c r="R347" s="18">
        <f t="shared" si="26"/>
        <v>7.0000000000000007E-2</v>
      </c>
      <c r="S347" s="1" t="str">
        <f t="shared" si="27"/>
        <v>Medium</v>
      </c>
      <c r="T347" s="18">
        <f t="shared" si="28"/>
        <v>0.5376344086021505</v>
      </c>
      <c r="U347" s="1" t="str">
        <f t="shared" si="29"/>
        <v>Profitable ✅</v>
      </c>
    </row>
    <row r="348" spans="1:21" x14ac:dyDescent="0.35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  <c r="Q348" s="18">
        <f t="shared" si="25"/>
        <v>0.46236559139784944</v>
      </c>
      <c r="R348" s="18">
        <f t="shared" si="26"/>
        <v>7.0000000000000007E-2</v>
      </c>
      <c r="S348" s="1" t="str">
        <f t="shared" si="27"/>
        <v>Medium</v>
      </c>
      <c r="T348" s="18">
        <f t="shared" si="28"/>
        <v>0.53763440860215062</v>
      </c>
      <c r="U348" s="1" t="str">
        <f t="shared" si="29"/>
        <v>Profitable ✅</v>
      </c>
    </row>
    <row r="349" spans="1:21" x14ac:dyDescent="0.35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  <c r="Q349" s="18">
        <f t="shared" si="25"/>
        <v>0.1039426523297491</v>
      </c>
      <c r="R349" s="18">
        <f t="shared" si="26"/>
        <v>7.0000000000000007E-2</v>
      </c>
      <c r="S349" s="1" t="str">
        <f t="shared" si="27"/>
        <v>Enterprise</v>
      </c>
      <c r="T349" s="18">
        <f t="shared" si="28"/>
        <v>0.89605734767025091</v>
      </c>
      <c r="U349" s="1" t="str">
        <f t="shared" si="29"/>
        <v>Profitable ✅</v>
      </c>
    </row>
    <row r="350" spans="1:21" x14ac:dyDescent="0.35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  <c r="Q350" s="18">
        <f t="shared" si="25"/>
        <v>0.46236559139784944</v>
      </c>
      <c r="R350" s="18">
        <f t="shared" si="26"/>
        <v>7.0000000000000007E-2</v>
      </c>
      <c r="S350" s="1" t="str">
        <f t="shared" si="27"/>
        <v>Medium</v>
      </c>
      <c r="T350" s="18">
        <f t="shared" si="28"/>
        <v>0.53763440860215062</v>
      </c>
      <c r="U350" s="1" t="str">
        <f t="shared" si="29"/>
        <v>Profitable ✅</v>
      </c>
    </row>
    <row r="351" spans="1:21" x14ac:dyDescent="0.35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  <c r="Q351" s="18">
        <f t="shared" si="25"/>
        <v>0.73118279569892475</v>
      </c>
      <c r="R351" s="18">
        <f t="shared" si="26"/>
        <v>7.0000000000000007E-2</v>
      </c>
      <c r="S351" s="1" t="str">
        <f t="shared" si="27"/>
        <v>Medium</v>
      </c>
      <c r="T351" s="18">
        <f t="shared" si="28"/>
        <v>0.26881720430107525</v>
      </c>
      <c r="U351" s="1" t="str">
        <f t="shared" si="29"/>
        <v>Profitable ✅</v>
      </c>
    </row>
    <row r="352" spans="1:21" x14ac:dyDescent="0.35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  <c r="Q352" s="18">
        <f t="shared" si="25"/>
        <v>0.1039426523297491</v>
      </c>
      <c r="R352" s="18">
        <f t="shared" si="26"/>
        <v>7.0000000000000007E-2</v>
      </c>
      <c r="S352" s="1" t="str">
        <f t="shared" si="27"/>
        <v>Enterprise</v>
      </c>
      <c r="T352" s="18">
        <f t="shared" si="28"/>
        <v>0.89605734767025091</v>
      </c>
      <c r="U352" s="1" t="str">
        <f t="shared" si="29"/>
        <v>Profitable ✅</v>
      </c>
    </row>
    <row r="353" spans="1:21" x14ac:dyDescent="0.35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  <c r="Q353" s="18">
        <f t="shared" si="25"/>
        <v>0.1039426523297491</v>
      </c>
      <c r="R353" s="18">
        <f t="shared" si="26"/>
        <v>7.0000000000000007E-2</v>
      </c>
      <c r="S353" s="1" t="str">
        <f t="shared" si="27"/>
        <v>Enterprise</v>
      </c>
      <c r="T353" s="18">
        <f t="shared" si="28"/>
        <v>0.89605734767025091</v>
      </c>
      <c r="U353" s="1" t="str">
        <f t="shared" si="29"/>
        <v>Profitable ✅</v>
      </c>
    </row>
    <row r="354" spans="1:21" x14ac:dyDescent="0.35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  <c r="Q354" s="18">
        <f t="shared" si="25"/>
        <v>-3.2258064516129031E-2</v>
      </c>
      <c r="R354" s="18">
        <f t="shared" si="26"/>
        <v>7.0000000000000007E-2</v>
      </c>
      <c r="S354" s="1" t="str">
        <f t="shared" si="27"/>
        <v>Large</v>
      </c>
      <c r="T354" s="18">
        <f t="shared" si="28"/>
        <v>1.032258064516129</v>
      </c>
      <c r="U354" s="1" t="str">
        <f t="shared" si="29"/>
        <v>Loss ❌</v>
      </c>
    </row>
    <row r="355" spans="1:21" x14ac:dyDescent="0.35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  <c r="Q355" s="18">
        <f t="shared" si="25"/>
        <v>0.20122887864823349</v>
      </c>
      <c r="R355" s="18">
        <f t="shared" si="26"/>
        <v>7.0000000000000007E-2</v>
      </c>
      <c r="S355" s="1" t="str">
        <f t="shared" si="27"/>
        <v>Enterprise</v>
      </c>
      <c r="T355" s="18">
        <f t="shared" si="28"/>
        <v>0.79877112135176653</v>
      </c>
      <c r="U355" s="1" t="str">
        <f t="shared" si="29"/>
        <v>Profitable ✅</v>
      </c>
    </row>
    <row r="356" spans="1:21" x14ac:dyDescent="0.35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  <c r="Q356" s="18">
        <f t="shared" si="25"/>
        <v>-3.2258064516129031E-2</v>
      </c>
      <c r="R356" s="18">
        <f t="shared" si="26"/>
        <v>7.0000000000000007E-2</v>
      </c>
      <c r="S356" s="1" t="str">
        <f t="shared" si="27"/>
        <v>Large</v>
      </c>
      <c r="T356" s="18">
        <f t="shared" si="28"/>
        <v>1.032258064516129</v>
      </c>
      <c r="U356" s="1" t="str">
        <f t="shared" si="29"/>
        <v>Loss ❌</v>
      </c>
    </row>
    <row r="357" spans="1:21" x14ac:dyDescent="0.35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  <c r="Q357" s="18">
        <f t="shared" si="25"/>
        <v>0.46236559139784944</v>
      </c>
      <c r="R357" s="18">
        <f t="shared" si="26"/>
        <v>7.0000000000000007E-2</v>
      </c>
      <c r="S357" s="1" t="str">
        <f t="shared" si="27"/>
        <v>Medium</v>
      </c>
      <c r="T357" s="18">
        <f t="shared" si="28"/>
        <v>0.5376344086021505</v>
      </c>
      <c r="U357" s="1" t="str">
        <f t="shared" si="29"/>
        <v>Profitable ✅</v>
      </c>
    </row>
    <row r="358" spans="1:21" x14ac:dyDescent="0.35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  <c r="Q358" s="18">
        <f t="shared" si="25"/>
        <v>0.1039426523297491</v>
      </c>
      <c r="R358" s="18">
        <f t="shared" si="26"/>
        <v>7.0000000000000007E-2</v>
      </c>
      <c r="S358" s="1" t="str">
        <f t="shared" si="27"/>
        <v>Enterprise</v>
      </c>
      <c r="T358" s="18">
        <f t="shared" si="28"/>
        <v>0.89605734767025091</v>
      </c>
      <c r="U358" s="1" t="str">
        <f t="shared" si="29"/>
        <v>Profitable ✅</v>
      </c>
    </row>
    <row r="359" spans="1:21" x14ac:dyDescent="0.35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  <c r="Q359" s="18">
        <f t="shared" si="25"/>
        <v>0.22360248447204975</v>
      </c>
      <c r="R359" s="18">
        <f t="shared" si="26"/>
        <v>7.9999999999999988E-2</v>
      </c>
      <c r="S359" s="1" t="str">
        <f t="shared" si="27"/>
        <v>Small</v>
      </c>
      <c r="T359" s="18">
        <f t="shared" si="28"/>
        <v>0.77639751552795022</v>
      </c>
      <c r="U359" s="1" t="str">
        <f t="shared" si="29"/>
        <v>Profitable ✅</v>
      </c>
    </row>
    <row r="360" spans="1:21" x14ac:dyDescent="0.35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  <c r="Q360" s="18">
        <f t="shared" si="25"/>
        <v>0.45652173913043476</v>
      </c>
      <c r="R360" s="18">
        <f t="shared" si="26"/>
        <v>7.9999999999999988E-2</v>
      </c>
      <c r="S360" s="1" t="str">
        <f t="shared" si="27"/>
        <v>Medium</v>
      </c>
      <c r="T360" s="18">
        <f t="shared" si="28"/>
        <v>0.54347826086956519</v>
      </c>
      <c r="U360" s="1" t="str">
        <f t="shared" si="29"/>
        <v>Profitable ✅</v>
      </c>
    </row>
    <row r="361" spans="1:21" x14ac:dyDescent="0.35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  <c r="Q361" s="18">
        <f t="shared" si="25"/>
        <v>0.22360248447204967</v>
      </c>
      <c r="R361" s="18">
        <f t="shared" si="26"/>
        <v>7.9999999999999988E-2</v>
      </c>
      <c r="S361" s="1" t="str">
        <f t="shared" si="27"/>
        <v>Small</v>
      </c>
      <c r="T361" s="18">
        <f t="shared" si="28"/>
        <v>0.77639751552795033</v>
      </c>
      <c r="U361" s="1" t="str">
        <f t="shared" si="29"/>
        <v>Profitable ✅</v>
      </c>
    </row>
    <row r="362" spans="1:21" x14ac:dyDescent="0.35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  <c r="Q362" s="18">
        <f t="shared" si="25"/>
        <v>0.45652173913043476</v>
      </c>
      <c r="R362" s="18">
        <f t="shared" si="26"/>
        <v>7.9999999999999988E-2</v>
      </c>
      <c r="S362" s="1" t="str">
        <f t="shared" si="27"/>
        <v>Medium</v>
      </c>
      <c r="T362" s="18">
        <f t="shared" si="28"/>
        <v>0.54347826086956519</v>
      </c>
      <c r="U362" s="1" t="str">
        <f t="shared" si="29"/>
        <v>Profitable ✅</v>
      </c>
    </row>
    <row r="363" spans="1:21" x14ac:dyDescent="0.35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  <c r="Q363" s="18">
        <f t="shared" si="25"/>
        <v>-4.3478260869565216E-2</v>
      </c>
      <c r="R363" s="18">
        <f t="shared" si="26"/>
        <v>0.08</v>
      </c>
      <c r="S363" s="1" t="str">
        <f t="shared" si="27"/>
        <v>Large</v>
      </c>
      <c r="T363" s="18">
        <f t="shared" si="28"/>
        <v>1.0434782608695652</v>
      </c>
      <c r="U363" s="1" t="str">
        <f t="shared" si="29"/>
        <v>Loss ❌</v>
      </c>
    </row>
    <row r="364" spans="1:21" x14ac:dyDescent="0.35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  <c r="Q364" s="18">
        <f t="shared" si="25"/>
        <v>0.27536231884057971</v>
      </c>
      <c r="R364" s="18">
        <f t="shared" si="26"/>
        <v>0.08</v>
      </c>
      <c r="S364" s="1" t="str">
        <f t="shared" si="27"/>
        <v>Small</v>
      </c>
      <c r="T364" s="18">
        <f t="shared" si="28"/>
        <v>0.72463768115942029</v>
      </c>
      <c r="U364" s="1" t="str">
        <f t="shared" si="29"/>
        <v>Profitable ✅</v>
      </c>
    </row>
    <row r="365" spans="1:21" x14ac:dyDescent="0.35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  <c r="Q365" s="18">
        <f t="shared" si="25"/>
        <v>0.19254658385093168</v>
      </c>
      <c r="R365" s="18">
        <f t="shared" si="26"/>
        <v>0.08</v>
      </c>
      <c r="S365" s="1" t="str">
        <f t="shared" si="27"/>
        <v>Enterprise</v>
      </c>
      <c r="T365" s="18">
        <f t="shared" si="28"/>
        <v>0.80745341614906829</v>
      </c>
      <c r="U365" s="1" t="str">
        <f t="shared" si="29"/>
        <v>Profitable ✅</v>
      </c>
    </row>
    <row r="366" spans="1:21" x14ac:dyDescent="0.35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  <c r="Q366" s="18">
        <f t="shared" si="25"/>
        <v>0.27536231884057977</v>
      </c>
      <c r="R366" s="18">
        <f t="shared" si="26"/>
        <v>0.08</v>
      </c>
      <c r="S366" s="1" t="str">
        <f t="shared" si="27"/>
        <v>Medium</v>
      </c>
      <c r="T366" s="18">
        <f t="shared" si="28"/>
        <v>0.72463768115942018</v>
      </c>
      <c r="U366" s="1" t="str">
        <f t="shared" si="29"/>
        <v>Profitable ✅</v>
      </c>
    </row>
    <row r="367" spans="1:21" x14ac:dyDescent="0.35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  <c r="Q367" s="18">
        <f t="shared" si="25"/>
        <v>0.45652173913043481</v>
      </c>
      <c r="R367" s="18">
        <f t="shared" si="26"/>
        <v>0.08</v>
      </c>
      <c r="S367" s="1" t="str">
        <f t="shared" si="27"/>
        <v>Medium</v>
      </c>
      <c r="T367" s="18">
        <f t="shared" si="28"/>
        <v>0.54347826086956519</v>
      </c>
      <c r="U367" s="1" t="str">
        <f t="shared" si="29"/>
        <v>Profitable ✅</v>
      </c>
    </row>
    <row r="368" spans="1:21" x14ac:dyDescent="0.35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  <c r="Q368" s="18">
        <f t="shared" si="25"/>
        <v>0.45652173913043476</v>
      </c>
      <c r="R368" s="18">
        <f t="shared" si="26"/>
        <v>0.08</v>
      </c>
      <c r="S368" s="1" t="str">
        <f t="shared" si="27"/>
        <v>Medium</v>
      </c>
      <c r="T368" s="18">
        <f t="shared" si="28"/>
        <v>0.54347826086956519</v>
      </c>
      <c r="U368" s="1" t="str">
        <f t="shared" si="29"/>
        <v>Profitable ✅</v>
      </c>
    </row>
    <row r="369" spans="1:21" x14ac:dyDescent="0.35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  <c r="Q369" s="18">
        <f t="shared" si="25"/>
        <v>9.420289855072464E-2</v>
      </c>
      <c r="R369" s="18">
        <f t="shared" si="26"/>
        <v>0.08</v>
      </c>
      <c r="S369" s="1" t="str">
        <f t="shared" si="27"/>
        <v>Enterprise</v>
      </c>
      <c r="T369" s="18">
        <f t="shared" si="28"/>
        <v>0.90579710144927539</v>
      </c>
      <c r="U369" s="1" t="str">
        <f t="shared" si="29"/>
        <v>Profitable ✅</v>
      </c>
    </row>
    <row r="370" spans="1:21" x14ac:dyDescent="0.35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  <c r="Q370" s="18">
        <f t="shared" si="25"/>
        <v>9.420289855072464E-2</v>
      </c>
      <c r="R370" s="18">
        <f t="shared" si="26"/>
        <v>0.08</v>
      </c>
      <c r="S370" s="1" t="str">
        <f t="shared" si="27"/>
        <v>Enterprise</v>
      </c>
      <c r="T370" s="18">
        <f t="shared" si="28"/>
        <v>0.90579710144927539</v>
      </c>
      <c r="U370" s="1" t="str">
        <f t="shared" si="29"/>
        <v>Profitable ✅</v>
      </c>
    </row>
    <row r="371" spans="1:21" x14ac:dyDescent="0.35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  <c r="Q371" s="18">
        <f t="shared" si="25"/>
        <v>0.27536231884057966</v>
      </c>
      <c r="R371" s="18">
        <f t="shared" si="26"/>
        <v>0.08</v>
      </c>
      <c r="S371" s="1" t="str">
        <f t="shared" si="27"/>
        <v>Small</v>
      </c>
      <c r="T371" s="18">
        <f t="shared" si="28"/>
        <v>0.72463768115942029</v>
      </c>
      <c r="U371" s="1" t="str">
        <f t="shared" si="29"/>
        <v>Profitable ✅</v>
      </c>
    </row>
    <row r="372" spans="1:21" x14ac:dyDescent="0.35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  <c r="Q372" s="18">
        <f t="shared" si="25"/>
        <v>-4.3478260869565216E-2</v>
      </c>
      <c r="R372" s="18">
        <f t="shared" si="26"/>
        <v>0.08</v>
      </c>
      <c r="S372" s="1" t="str">
        <f t="shared" si="27"/>
        <v>Large</v>
      </c>
      <c r="T372" s="18">
        <f t="shared" si="28"/>
        <v>1.0434782608695652</v>
      </c>
      <c r="U372" s="1" t="str">
        <f t="shared" si="29"/>
        <v>Loss ❌</v>
      </c>
    </row>
    <row r="373" spans="1:21" x14ac:dyDescent="0.35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  <c r="Q373" s="18">
        <f t="shared" si="25"/>
        <v>0.2236024844720497</v>
      </c>
      <c r="R373" s="18">
        <f t="shared" si="26"/>
        <v>0.08</v>
      </c>
      <c r="S373" s="1" t="str">
        <f t="shared" si="27"/>
        <v>Small</v>
      </c>
      <c r="T373" s="18">
        <f t="shared" si="28"/>
        <v>0.77639751552795033</v>
      </c>
      <c r="U373" s="1" t="str">
        <f t="shared" si="29"/>
        <v>Profitable ✅</v>
      </c>
    </row>
    <row r="374" spans="1:21" x14ac:dyDescent="0.35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  <c r="Q374" s="18">
        <f t="shared" si="25"/>
        <v>0.22360248447204972</v>
      </c>
      <c r="R374" s="18">
        <f t="shared" si="26"/>
        <v>0.08</v>
      </c>
      <c r="S374" s="1" t="str">
        <f t="shared" si="27"/>
        <v>Small</v>
      </c>
      <c r="T374" s="18">
        <f t="shared" si="28"/>
        <v>0.77639751552795033</v>
      </c>
      <c r="U374" s="1" t="str">
        <f t="shared" si="29"/>
        <v>Profitable ✅</v>
      </c>
    </row>
    <row r="375" spans="1:21" x14ac:dyDescent="0.35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  <c r="Q375" s="18">
        <f t="shared" si="25"/>
        <v>0.45652173913043481</v>
      </c>
      <c r="R375" s="18">
        <f t="shared" si="26"/>
        <v>0.08</v>
      </c>
      <c r="S375" s="1" t="str">
        <f t="shared" si="27"/>
        <v>Medium</v>
      </c>
      <c r="T375" s="18">
        <f t="shared" si="28"/>
        <v>0.54347826086956519</v>
      </c>
      <c r="U375" s="1" t="str">
        <f t="shared" si="29"/>
        <v>Profitable ✅</v>
      </c>
    </row>
    <row r="376" spans="1:21" x14ac:dyDescent="0.35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  <c r="Q376" s="18">
        <f t="shared" si="25"/>
        <v>9.420289855072464E-2</v>
      </c>
      <c r="R376" s="18">
        <f t="shared" si="26"/>
        <v>0.08</v>
      </c>
      <c r="S376" s="1" t="str">
        <f t="shared" si="27"/>
        <v>Enterprise</v>
      </c>
      <c r="T376" s="18">
        <f t="shared" si="28"/>
        <v>0.90579710144927539</v>
      </c>
      <c r="U376" s="1" t="str">
        <f t="shared" si="29"/>
        <v>Profitable ✅</v>
      </c>
    </row>
    <row r="377" spans="1:21" x14ac:dyDescent="0.35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  <c r="Q377" s="18">
        <f t="shared" si="25"/>
        <v>0.22360248447204964</v>
      </c>
      <c r="R377" s="18">
        <f t="shared" si="26"/>
        <v>0.08</v>
      </c>
      <c r="S377" s="1" t="str">
        <f t="shared" si="27"/>
        <v>Small</v>
      </c>
      <c r="T377" s="18">
        <f t="shared" si="28"/>
        <v>0.77639751552795033</v>
      </c>
      <c r="U377" s="1" t="str">
        <f t="shared" si="29"/>
        <v>Profitable ✅</v>
      </c>
    </row>
    <row r="378" spans="1:21" x14ac:dyDescent="0.35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  <c r="Q378" s="18">
        <f t="shared" si="25"/>
        <v>0.22360248447204975</v>
      </c>
      <c r="R378" s="18">
        <f t="shared" si="26"/>
        <v>0.08</v>
      </c>
      <c r="S378" s="1" t="str">
        <f t="shared" si="27"/>
        <v>Medium</v>
      </c>
      <c r="T378" s="18">
        <f t="shared" si="28"/>
        <v>0.77639751552795022</v>
      </c>
      <c r="U378" s="1" t="str">
        <f t="shared" si="29"/>
        <v>Profitable ✅</v>
      </c>
    </row>
    <row r="379" spans="1:21" x14ac:dyDescent="0.35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  <c r="Q379" s="18">
        <f t="shared" si="25"/>
        <v>0.22360248447204964</v>
      </c>
      <c r="R379" s="18">
        <f t="shared" si="26"/>
        <v>0.08</v>
      </c>
      <c r="S379" s="1" t="str">
        <f t="shared" si="27"/>
        <v>Medium</v>
      </c>
      <c r="T379" s="18">
        <f t="shared" si="28"/>
        <v>0.77639751552795033</v>
      </c>
      <c r="U379" s="1" t="str">
        <f t="shared" si="29"/>
        <v>Profitable ✅</v>
      </c>
    </row>
    <row r="380" spans="1:21" x14ac:dyDescent="0.35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  <c r="Q380" s="18">
        <f t="shared" si="25"/>
        <v>0.45652173913043476</v>
      </c>
      <c r="R380" s="18">
        <f t="shared" si="26"/>
        <v>0.08</v>
      </c>
      <c r="S380" s="1" t="str">
        <f t="shared" si="27"/>
        <v>Medium</v>
      </c>
      <c r="T380" s="18">
        <f t="shared" si="28"/>
        <v>0.54347826086956519</v>
      </c>
      <c r="U380" s="1" t="str">
        <f t="shared" si="29"/>
        <v>Profitable ✅</v>
      </c>
    </row>
    <row r="381" spans="1:21" x14ac:dyDescent="0.35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  <c r="Q381" s="18">
        <f t="shared" si="25"/>
        <v>0.45652173913043476</v>
      </c>
      <c r="R381" s="18">
        <f t="shared" si="26"/>
        <v>0.08</v>
      </c>
      <c r="S381" s="1" t="str">
        <f t="shared" si="27"/>
        <v>Large</v>
      </c>
      <c r="T381" s="18">
        <f t="shared" si="28"/>
        <v>0.5434782608695653</v>
      </c>
      <c r="U381" s="1" t="str">
        <f t="shared" si="29"/>
        <v>Profitable ✅</v>
      </c>
    </row>
    <row r="382" spans="1:21" x14ac:dyDescent="0.35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  <c r="Q382" s="18">
        <f t="shared" si="25"/>
        <v>0.19254658385093168</v>
      </c>
      <c r="R382" s="18">
        <f t="shared" si="26"/>
        <v>0.08</v>
      </c>
      <c r="S382" s="1" t="str">
        <f t="shared" si="27"/>
        <v>Enterprise</v>
      </c>
      <c r="T382" s="18">
        <f t="shared" si="28"/>
        <v>0.80745341614906829</v>
      </c>
      <c r="U382" s="1" t="str">
        <f t="shared" si="29"/>
        <v>Profitable ✅</v>
      </c>
    </row>
    <row r="383" spans="1:21" x14ac:dyDescent="0.35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  <c r="Q383" s="18">
        <f t="shared" si="25"/>
        <v>0.22360248447204967</v>
      </c>
      <c r="R383" s="18">
        <f t="shared" si="26"/>
        <v>0.08</v>
      </c>
      <c r="S383" s="1" t="str">
        <f t="shared" si="27"/>
        <v>Medium</v>
      </c>
      <c r="T383" s="18">
        <f t="shared" si="28"/>
        <v>0.77639751552795033</v>
      </c>
      <c r="U383" s="1" t="str">
        <f t="shared" si="29"/>
        <v>Profitable ✅</v>
      </c>
    </row>
    <row r="384" spans="1:21" x14ac:dyDescent="0.35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  <c r="Q384" s="18">
        <f t="shared" si="25"/>
        <v>0.19254658385093168</v>
      </c>
      <c r="R384" s="18">
        <f t="shared" si="26"/>
        <v>0.08</v>
      </c>
      <c r="S384" s="1" t="str">
        <f t="shared" si="27"/>
        <v>Enterprise</v>
      </c>
      <c r="T384" s="18">
        <f t="shared" si="28"/>
        <v>0.80745341614906829</v>
      </c>
      <c r="U384" s="1" t="str">
        <f t="shared" si="29"/>
        <v>Profitable ✅</v>
      </c>
    </row>
    <row r="385" spans="1:21" x14ac:dyDescent="0.35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  <c r="Q385" s="18">
        <f t="shared" si="25"/>
        <v>0.72826086956521741</v>
      </c>
      <c r="R385" s="18">
        <f t="shared" si="26"/>
        <v>0.08</v>
      </c>
      <c r="S385" s="1" t="str">
        <f t="shared" si="27"/>
        <v>Small</v>
      </c>
      <c r="T385" s="18">
        <f t="shared" si="28"/>
        <v>0.27173913043478259</v>
      </c>
      <c r="U385" s="1" t="str">
        <f t="shared" si="29"/>
        <v>Profitable ✅</v>
      </c>
    </row>
    <row r="386" spans="1:21" x14ac:dyDescent="0.35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  <c r="Q386" s="18">
        <f t="shared" ref="Q386:Q449" si="30">IF(J386=0,0,L386/J386)</f>
        <v>0.22360248447204975</v>
      </c>
      <c r="R386" s="18">
        <f t="shared" ref="R386:R449" si="31">IF(H386=0,0, I386/H386)</f>
        <v>0.08</v>
      </c>
      <c r="S386" s="1" t="str">
        <f t="shared" ref="S386:S449" si="32">IF(J386&lt;10000,"Small",IF(J386&lt;50000,"Medium",IF(J386&lt;200000,"Large","Enterprise")))</f>
        <v>Medium</v>
      </c>
      <c r="T386" s="18">
        <f t="shared" ref="T386:T449" si="33">IF(J386=0,0,K386/J386)</f>
        <v>0.77639751552795022</v>
      </c>
      <c r="U386" s="1" t="str">
        <f t="shared" ref="U386:U449" si="34">IFERROR(IF(L386&gt;0,"Profitable ✅",IF(L386=0,"Breakeven ⚖️","Loss ❌")),"Check Data 📊")</f>
        <v>Profitable ✅</v>
      </c>
    </row>
    <row r="387" spans="1:21" x14ac:dyDescent="0.35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  <c r="Q387" s="18">
        <f t="shared" si="30"/>
        <v>0.22360248447204967</v>
      </c>
      <c r="R387" s="18">
        <f t="shared" si="31"/>
        <v>0.08</v>
      </c>
      <c r="S387" s="1" t="str">
        <f t="shared" si="32"/>
        <v>Medium</v>
      </c>
      <c r="T387" s="18">
        <f t="shared" si="33"/>
        <v>0.77639751552795033</v>
      </c>
      <c r="U387" s="1" t="str">
        <f t="shared" si="34"/>
        <v>Profitable ✅</v>
      </c>
    </row>
    <row r="388" spans="1:21" x14ac:dyDescent="0.35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  <c r="Q388" s="18">
        <f t="shared" si="30"/>
        <v>9.420289855072464E-2</v>
      </c>
      <c r="R388" s="18">
        <f t="shared" si="31"/>
        <v>0.08</v>
      </c>
      <c r="S388" s="1" t="str">
        <f t="shared" si="32"/>
        <v>Large</v>
      </c>
      <c r="T388" s="18">
        <f t="shared" si="33"/>
        <v>0.90579710144927539</v>
      </c>
      <c r="U388" s="1" t="str">
        <f t="shared" si="34"/>
        <v>Profitable ✅</v>
      </c>
    </row>
    <row r="389" spans="1:21" x14ac:dyDescent="0.35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  <c r="Q389" s="18">
        <f t="shared" si="30"/>
        <v>9.420289855072464E-2</v>
      </c>
      <c r="R389" s="18">
        <f t="shared" si="31"/>
        <v>0.08</v>
      </c>
      <c r="S389" s="1" t="str">
        <f t="shared" si="32"/>
        <v>Large</v>
      </c>
      <c r="T389" s="18">
        <f t="shared" si="33"/>
        <v>0.90579710144927539</v>
      </c>
      <c r="U389" s="1" t="str">
        <f t="shared" si="34"/>
        <v>Profitable ✅</v>
      </c>
    </row>
    <row r="390" spans="1:21" x14ac:dyDescent="0.35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  <c r="Q390" s="18">
        <f t="shared" si="30"/>
        <v>0.19254658385093168</v>
      </c>
      <c r="R390" s="18">
        <f t="shared" si="31"/>
        <v>0.08</v>
      </c>
      <c r="S390" s="1" t="str">
        <f t="shared" si="32"/>
        <v>Large</v>
      </c>
      <c r="T390" s="18">
        <f t="shared" si="33"/>
        <v>0.80745341614906829</v>
      </c>
      <c r="U390" s="1" t="str">
        <f t="shared" si="34"/>
        <v>Profitable ✅</v>
      </c>
    </row>
    <row r="391" spans="1:21" x14ac:dyDescent="0.35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  <c r="Q391" s="18">
        <f t="shared" si="30"/>
        <v>0.22360248447204967</v>
      </c>
      <c r="R391" s="18">
        <f t="shared" si="31"/>
        <v>0.08</v>
      </c>
      <c r="S391" s="1" t="str">
        <f t="shared" si="32"/>
        <v>Medium</v>
      </c>
      <c r="T391" s="18">
        <f t="shared" si="33"/>
        <v>0.77639751552795033</v>
      </c>
      <c r="U391" s="1" t="str">
        <f t="shared" si="34"/>
        <v>Profitable ✅</v>
      </c>
    </row>
    <row r="392" spans="1:21" x14ac:dyDescent="0.35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  <c r="Q392" s="18">
        <f t="shared" si="30"/>
        <v>0.19254658385093168</v>
      </c>
      <c r="R392" s="18">
        <f t="shared" si="31"/>
        <v>0.08</v>
      </c>
      <c r="S392" s="1" t="str">
        <f t="shared" si="32"/>
        <v>Large</v>
      </c>
      <c r="T392" s="18">
        <f t="shared" si="33"/>
        <v>0.80745341614906829</v>
      </c>
      <c r="U392" s="1" t="str">
        <f t="shared" si="34"/>
        <v>Profitable ✅</v>
      </c>
    </row>
    <row r="393" spans="1:21" x14ac:dyDescent="0.35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  <c r="Q393" s="18">
        <f t="shared" si="30"/>
        <v>0.19254658385093168</v>
      </c>
      <c r="R393" s="18">
        <f t="shared" si="31"/>
        <v>0.08</v>
      </c>
      <c r="S393" s="1" t="str">
        <f t="shared" si="32"/>
        <v>Large</v>
      </c>
      <c r="T393" s="18">
        <f t="shared" si="33"/>
        <v>0.80745341614906829</v>
      </c>
      <c r="U393" s="1" t="str">
        <f t="shared" si="34"/>
        <v>Profitable ✅</v>
      </c>
    </row>
    <row r="394" spans="1:21" x14ac:dyDescent="0.35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  <c r="Q394" s="18">
        <f t="shared" si="30"/>
        <v>9.420289855072464E-2</v>
      </c>
      <c r="R394" s="18">
        <f t="shared" si="31"/>
        <v>0.08</v>
      </c>
      <c r="S394" s="1" t="str">
        <f t="shared" si="32"/>
        <v>Enterprise</v>
      </c>
      <c r="T394" s="18">
        <f t="shared" si="33"/>
        <v>0.90579710144927539</v>
      </c>
      <c r="U394" s="1" t="str">
        <f t="shared" si="34"/>
        <v>Profitable ✅</v>
      </c>
    </row>
    <row r="395" spans="1:21" x14ac:dyDescent="0.35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  <c r="Q395" s="18">
        <f t="shared" si="30"/>
        <v>9.420289855072464E-2</v>
      </c>
      <c r="R395" s="18">
        <f t="shared" si="31"/>
        <v>0.08</v>
      </c>
      <c r="S395" s="1" t="str">
        <f t="shared" si="32"/>
        <v>Enterprise</v>
      </c>
      <c r="T395" s="18">
        <f t="shared" si="33"/>
        <v>0.90579710144927539</v>
      </c>
      <c r="U395" s="1" t="str">
        <f t="shared" si="34"/>
        <v>Profitable ✅</v>
      </c>
    </row>
    <row r="396" spans="1:21" x14ac:dyDescent="0.35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  <c r="Q396" s="18">
        <f t="shared" si="30"/>
        <v>0.45652173913043481</v>
      </c>
      <c r="R396" s="18">
        <f t="shared" si="31"/>
        <v>0.08</v>
      </c>
      <c r="S396" s="1" t="str">
        <f t="shared" si="32"/>
        <v>Medium</v>
      </c>
      <c r="T396" s="18">
        <f t="shared" si="33"/>
        <v>0.54347826086956519</v>
      </c>
      <c r="U396" s="1" t="str">
        <f t="shared" si="34"/>
        <v>Profitable ✅</v>
      </c>
    </row>
    <row r="397" spans="1:21" x14ac:dyDescent="0.35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  <c r="Q397" s="18">
        <f t="shared" si="30"/>
        <v>0.22360248447204975</v>
      </c>
      <c r="R397" s="18">
        <f t="shared" si="31"/>
        <v>0.08</v>
      </c>
      <c r="S397" s="1" t="str">
        <f t="shared" si="32"/>
        <v>Medium</v>
      </c>
      <c r="T397" s="18">
        <f t="shared" si="33"/>
        <v>0.77639751552795022</v>
      </c>
      <c r="U397" s="1" t="str">
        <f t="shared" si="34"/>
        <v>Profitable ✅</v>
      </c>
    </row>
    <row r="398" spans="1:21" x14ac:dyDescent="0.35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  <c r="Q398" s="18">
        <f t="shared" si="30"/>
        <v>0.45652173913043481</v>
      </c>
      <c r="R398" s="18">
        <f t="shared" si="31"/>
        <v>0.08</v>
      </c>
      <c r="S398" s="1" t="str">
        <f t="shared" si="32"/>
        <v>Medium</v>
      </c>
      <c r="T398" s="18">
        <f t="shared" si="33"/>
        <v>0.54347826086956519</v>
      </c>
      <c r="U398" s="1" t="str">
        <f t="shared" si="34"/>
        <v>Profitable ✅</v>
      </c>
    </row>
    <row r="399" spans="1:21" x14ac:dyDescent="0.35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  <c r="Q399" s="18">
        <f t="shared" si="30"/>
        <v>9.420289855072464E-2</v>
      </c>
      <c r="R399" s="18">
        <f t="shared" si="31"/>
        <v>0.08</v>
      </c>
      <c r="S399" s="1" t="str">
        <f t="shared" si="32"/>
        <v>Enterprise</v>
      </c>
      <c r="T399" s="18">
        <f t="shared" si="33"/>
        <v>0.90579710144927539</v>
      </c>
      <c r="U399" s="1" t="str">
        <f t="shared" si="34"/>
        <v>Profitable ✅</v>
      </c>
    </row>
    <row r="400" spans="1:21" x14ac:dyDescent="0.35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  <c r="Q400" s="18">
        <f t="shared" si="30"/>
        <v>0.45652173913043476</v>
      </c>
      <c r="R400" s="18">
        <f t="shared" si="31"/>
        <v>0.08</v>
      </c>
      <c r="S400" s="1" t="str">
        <f t="shared" si="32"/>
        <v>Medium</v>
      </c>
      <c r="T400" s="18">
        <f t="shared" si="33"/>
        <v>0.54347826086956519</v>
      </c>
      <c r="U400" s="1" t="str">
        <f t="shared" si="34"/>
        <v>Profitable ✅</v>
      </c>
    </row>
    <row r="401" spans="1:21" x14ac:dyDescent="0.35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  <c r="Q401" s="18">
        <f t="shared" si="30"/>
        <v>0.27536231884057966</v>
      </c>
      <c r="R401" s="18">
        <f t="shared" si="31"/>
        <v>0.08</v>
      </c>
      <c r="S401" s="1" t="str">
        <f t="shared" si="32"/>
        <v>Small</v>
      </c>
      <c r="T401" s="18">
        <f t="shared" si="33"/>
        <v>0.72463768115942029</v>
      </c>
      <c r="U401" s="1" t="str">
        <f t="shared" si="34"/>
        <v>Profitable ✅</v>
      </c>
    </row>
    <row r="402" spans="1:21" x14ac:dyDescent="0.35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  <c r="Q402" s="18">
        <f t="shared" si="30"/>
        <v>0.72826086956521741</v>
      </c>
      <c r="R402" s="18">
        <f t="shared" si="31"/>
        <v>0.08</v>
      </c>
      <c r="S402" s="1" t="str">
        <f t="shared" si="32"/>
        <v>Medium</v>
      </c>
      <c r="T402" s="18">
        <f t="shared" si="33"/>
        <v>0.27173913043478259</v>
      </c>
      <c r="U402" s="1" t="str">
        <f t="shared" si="34"/>
        <v>Profitable ✅</v>
      </c>
    </row>
    <row r="403" spans="1:21" x14ac:dyDescent="0.35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  <c r="Q403" s="18">
        <f t="shared" si="30"/>
        <v>9.420289855072464E-2</v>
      </c>
      <c r="R403" s="18">
        <f t="shared" si="31"/>
        <v>0.08</v>
      </c>
      <c r="S403" s="1" t="str">
        <f t="shared" si="32"/>
        <v>Large</v>
      </c>
      <c r="T403" s="18">
        <f t="shared" si="33"/>
        <v>0.90579710144927539</v>
      </c>
      <c r="U403" s="1" t="str">
        <f t="shared" si="34"/>
        <v>Profitable ✅</v>
      </c>
    </row>
    <row r="404" spans="1:21" x14ac:dyDescent="0.35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  <c r="Q404" s="18">
        <f t="shared" si="30"/>
        <v>0.45652173913043476</v>
      </c>
      <c r="R404" s="18">
        <f t="shared" si="31"/>
        <v>8.0000000000000016E-2</v>
      </c>
      <c r="S404" s="1" t="str">
        <f t="shared" si="32"/>
        <v>Small</v>
      </c>
      <c r="T404" s="18">
        <f t="shared" si="33"/>
        <v>0.5434782608695653</v>
      </c>
      <c r="U404" s="1" t="str">
        <f t="shared" si="34"/>
        <v>Profitable ✅</v>
      </c>
    </row>
    <row r="405" spans="1:21" x14ac:dyDescent="0.35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  <c r="Q405" s="18">
        <f t="shared" si="30"/>
        <v>8.4249084249084255E-2</v>
      </c>
      <c r="R405" s="18">
        <f t="shared" si="31"/>
        <v>0.09</v>
      </c>
      <c r="S405" s="1" t="str">
        <f t="shared" si="32"/>
        <v>Enterprise</v>
      </c>
      <c r="T405" s="18">
        <f t="shared" si="33"/>
        <v>0.91575091575091572</v>
      </c>
      <c r="U405" s="1" t="str">
        <f t="shared" si="34"/>
        <v>Profitable ✅</v>
      </c>
    </row>
    <row r="406" spans="1:21" x14ac:dyDescent="0.35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  <c r="Q406" s="18">
        <f t="shared" si="30"/>
        <v>0.72527472527472525</v>
      </c>
      <c r="R406" s="18">
        <f t="shared" si="31"/>
        <v>0.09</v>
      </c>
      <c r="S406" s="1" t="str">
        <f t="shared" si="32"/>
        <v>Small</v>
      </c>
      <c r="T406" s="18">
        <f t="shared" si="33"/>
        <v>0.27472527472527475</v>
      </c>
      <c r="U406" s="1" t="str">
        <f t="shared" si="34"/>
        <v>Profitable ✅</v>
      </c>
    </row>
    <row r="407" spans="1:21" x14ac:dyDescent="0.35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  <c r="Q407" s="18">
        <f t="shared" si="30"/>
        <v>8.4249084249084255E-2</v>
      </c>
      <c r="R407" s="18">
        <f t="shared" si="31"/>
        <v>0.09</v>
      </c>
      <c r="S407" s="1" t="str">
        <f t="shared" si="32"/>
        <v>Enterprise</v>
      </c>
      <c r="T407" s="18">
        <f t="shared" si="33"/>
        <v>0.91575091575091572</v>
      </c>
      <c r="U407" s="1" t="str">
        <f t="shared" si="34"/>
        <v>Profitable ✅</v>
      </c>
    </row>
    <row r="408" spans="1:21" x14ac:dyDescent="0.35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  <c r="Q408" s="18">
        <f t="shared" si="30"/>
        <v>0.18367346938775511</v>
      </c>
      <c r="R408" s="18">
        <f t="shared" si="31"/>
        <v>0.09</v>
      </c>
      <c r="S408" s="1" t="str">
        <f t="shared" si="32"/>
        <v>Enterprise</v>
      </c>
      <c r="T408" s="18">
        <f t="shared" si="33"/>
        <v>0.81632653061224492</v>
      </c>
      <c r="U408" s="1" t="str">
        <f t="shared" si="34"/>
        <v>Profitable ✅</v>
      </c>
    </row>
    <row r="409" spans="1:21" x14ac:dyDescent="0.35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  <c r="Q409" s="18">
        <f t="shared" si="30"/>
        <v>8.4249084249084255E-2</v>
      </c>
      <c r="R409" s="18">
        <f t="shared" si="31"/>
        <v>0.09</v>
      </c>
      <c r="S409" s="1" t="str">
        <f t="shared" si="32"/>
        <v>Large</v>
      </c>
      <c r="T409" s="18">
        <f t="shared" si="33"/>
        <v>0.91575091575091572</v>
      </c>
      <c r="U409" s="1" t="str">
        <f t="shared" si="34"/>
        <v>Profitable ✅</v>
      </c>
    </row>
    <row r="410" spans="1:21" x14ac:dyDescent="0.35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  <c r="Q410" s="18">
        <f t="shared" si="30"/>
        <v>0.72527472527472525</v>
      </c>
      <c r="R410" s="18">
        <f t="shared" si="31"/>
        <v>0.09</v>
      </c>
      <c r="S410" s="1" t="str">
        <f t="shared" si="32"/>
        <v>Medium</v>
      </c>
      <c r="T410" s="18">
        <f t="shared" si="33"/>
        <v>0.27472527472527475</v>
      </c>
      <c r="U410" s="1" t="str">
        <f t="shared" si="34"/>
        <v>Profitable ✅</v>
      </c>
    </row>
    <row r="411" spans="1:21" x14ac:dyDescent="0.35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  <c r="Q411" s="18">
        <f t="shared" si="30"/>
        <v>-5.4945054945054944E-2</v>
      </c>
      <c r="R411" s="18">
        <f t="shared" si="31"/>
        <v>0.09</v>
      </c>
      <c r="S411" s="1" t="str">
        <f t="shared" si="32"/>
        <v>Enterprise</v>
      </c>
      <c r="T411" s="18">
        <f t="shared" si="33"/>
        <v>1.054945054945055</v>
      </c>
      <c r="U411" s="1" t="str">
        <f t="shared" si="34"/>
        <v>Loss ❌</v>
      </c>
    </row>
    <row r="412" spans="1:21" x14ac:dyDescent="0.35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  <c r="Q412" s="18">
        <f t="shared" si="30"/>
        <v>0.21507064364207218</v>
      </c>
      <c r="R412" s="18">
        <f t="shared" si="31"/>
        <v>0.09</v>
      </c>
      <c r="S412" s="1" t="str">
        <f t="shared" si="32"/>
        <v>Medium</v>
      </c>
      <c r="T412" s="18">
        <f t="shared" si="33"/>
        <v>0.78492935635792782</v>
      </c>
      <c r="U412" s="1" t="str">
        <f t="shared" si="34"/>
        <v>Profitable ✅</v>
      </c>
    </row>
    <row r="413" spans="1:21" x14ac:dyDescent="0.35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  <c r="Q413" s="18">
        <f t="shared" si="30"/>
        <v>-5.4945054945054944E-2</v>
      </c>
      <c r="R413" s="18">
        <f t="shared" si="31"/>
        <v>0.09</v>
      </c>
      <c r="S413" s="1" t="str">
        <f t="shared" si="32"/>
        <v>Enterprise</v>
      </c>
      <c r="T413" s="18">
        <f t="shared" si="33"/>
        <v>1.054945054945055</v>
      </c>
      <c r="U413" s="1" t="str">
        <f t="shared" si="34"/>
        <v>Loss ❌</v>
      </c>
    </row>
    <row r="414" spans="1:21" x14ac:dyDescent="0.35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  <c r="Q414" s="18">
        <f t="shared" si="30"/>
        <v>8.4249084249084255E-2</v>
      </c>
      <c r="R414" s="18">
        <f t="shared" si="31"/>
        <v>0.09</v>
      </c>
      <c r="S414" s="1" t="str">
        <f t="shared" si="32"/>
        <v>Large</v>
      </c>
      <c r="T414" s="18">
        <f t="shared" si="33"/>
        <v>0.91575091575091572</v>
      </c>
      <c r="U414" s="1" t="str">
        <f t="shared" si="34"/>
        <v>Profitable ✅</v>
      </c>
    </row>
    <row r="415" spans="1:21" x14ac:dyDescent="0.35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  <c r="Q415" s="18">
        <f t="shared" si="30"/>
        <v>8.4249084249084255E-2</v>
      </c>
      <c r="R415" s="18">
        <f t="shared" si="31"/>
        <v>0.09</v>
      </c>
      <c r="S415" s="1" t="str">
        <f t="shared" si="32"/>
        <v>Enterprise</v>
      </c>
      <c r="T415" s="18">
        <f t="shared" si="33"/>
        <v>0.91575091575091572</v>
      </c>
      <c r="U415" s="1" t="str">
        <f t="shared" si="34"/>
        <v>Profitable ✅</v>
      </c>
    </row>
    <row r="416" spans="1:21" x14ac:dyDescent="0.35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  <c r="Q416" s="18">
        <f t="shared" si="30"/>
        <v>0.18367346938775511</v>
      </c>
      <c r="R416" s="18">
        <f t="shared" si="31"/>
        <v>0.09</v>
      </c>
      <c r="S416" s="1" t="str">
        <f t="shared" si="32"/>
        <v>Enterprise</v>
      </c>
      <c r="T416" s="18">
        <f t="shared" si="33"/>
        <v>0.81632653061224492</v>
      </c>
      <c r="U416" s="1" t="str">
        <f t="shared" si="34"/>
        <v>Profitable ✅</v>
      </c>
    </row>
    <row r="417" spans="1:21" x14ac:dyDescent="0.35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  <c r="Q417" s="18">
        <f t="shared" si="30"/>
        <v>0.26739926739926739</v>
      </c>
      <c r="R417" s="18">
        <f t="shared" si="31"/>
        <v>0.09</v>
      </c>
      <c r="S417" s="1" t="str">
        <f t="shared" si="32"/>
        <v>Large</v>
      </c>
      <c r="T417" s="18">
        <f t="shared" si="33"/>
        <v>0.73260073260073255</v>
      </c>
      <c r="U417" s="1" t="str">
        <f t="shared" si="34"/>
        <v>Profitable ✅</v>
      </c>
    </row>
    <row r="418" spans="1:21" x14ac:dyDescent="0.35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  <c r="Q418" s="18">
        <f t="shared" si="30"/>
        <v>8.4249084249084255E-2</v>
      </c>
      <c r="R418" s="18">
        <f t="shared" si="31"/>
        <v>0.09</v>
      </c>
      <c r="S418" s="1" t="str">
        <f t="shared" si="32"/>
        <v>Enterprise</v>
      </c>
      <c r="T418" s="18">
        <f t="shared" si="33"/>
        <v>0.91575091575091572</v>
      </c>
      <c r="U418" s="1" t="str">
        <f t="shared" si="34"/>
        <v>Profitable ✅</v>
      </c>
    </row>
    <row r="419" spans="1:21" x14ac:dyDescent="0.35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  <c r="Q419" s="18">
        <f t="shared" si="30"/>
        <v>0.26739926739926739</v>
      </c>
      <c r="R419" s="18">
        <f t="shared" si="31"/>
        <v>0.09</v>
      </c>
      <c r="S419" s="1" t="str">
        <f t="shared" si="32"/>
        <v>Medium</v>
      </c>
      <c r="T419" s="18">
        <f t="shared" si="33"/>
        <v>0.73260073260073266</v>
      </c>
      <c r="U419" s="1" t="str">
        <f t="shared" si="34"/>
        <v>Profitable ✅</v>
      </c>
    </row>
    <row r="420" spans="1:21" x14ac:dyDescent="0.35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  <c r="Q420" s="18">
        <f t="shared" si="30"/>
        <v>0.72527472527472525</v>
      </c>
      <c r="R420" s="18">
        <f t="shared" si="31"/>
        <v>0.09</v>
      </c>
      <c r="S420" s="1" t="str">
        <f t="shared" si="32"/>
        <v>Small</v>
      </c>
      <c r="T420" s="18">
        <f t="shared" si="33"/>
        <v>0.27472527472527475</v>
      </c>
      <c r="U420" s="1" t="str">
        <f t="shared" si="34"/>
        <v>Profitable ✅</v>
      </c>
    </row>
    <row r="421" spans="1:21" x14ac:dyDescent="0.35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  <c r="Q421" s="18">
        <f t="shared" si="30"/>
        <v>8.4249084249084255E-2</v>
      </c>
      <c r="R421" s="18">
        <f t="shared" si="31"/>
        <v>0.09</v>
      </c>
      <c r="S421" s="1" t="str">
        <f t="shared" si="32"/>
        <v>Enterprise</v>
      </c>
      <c r="T421" s="18">
        <f t="shared" si="33"/>
        <v>0.91575091575091572</v>
      </c>
      <c r="U421" s="1" t="str">
        <f t="shared" si="34"/>
        <v>Profitable ✅</v>
      </c>
    </row>
    <row r="422" spans="1:21" x14ac:dyDescent="0.35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  <c r="Q422" s="18">
        <f t="shared" si="30"/>
        <v>0.72527472527472525</v>
      </c>
      <c r="R422" s="18">
        <f t="shared" si="31"/>
        <v>0.09</v>
      </c>
      <c r="S422" s="1" t="str">
        <f t="shared" si="32"/>
        <v>Medium</v>
      </c>
      <c r="T422" s="18">
        <f t="shared" si="33"/>
        <v>0.27472527472527475</v>
      </c>
      <c r="U422" s="1" t="str">
        <f t="shared" si="34"/>
        <v>Profitable ✅</v>
      </c>
    </row>
    <row r="423" spans="1:21" x14ac:dyDescent="0.35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  <c r="Q423" s="18">
        <f t="shared" si="30"/>
        <v>-5.4945054945054944E-2</v>
      </c>
      <c r="R423" s="18">
        <f t="shared" si="31"/>
        <v>0.09</v>
      </c>
      <c r="S423" s="1" t="str">
        <f t="shared" si="32"/>
        <v>Enterprise</v>
      </c>
      <c r="T423" s="18">
        <f t="shared" si="33"/>
        <v>1.054945054945055</v>
      </c>
      <c r="U423" s="1" t="str">
        <f t="shared" si="34"/>
        <v>Loss ❌</v>
      </c>
    </row>
    <row r="424" spans="1:21" x14ac:dyDescent="0.35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  <c r="Q424" s="18">
        <f t="shared" si="30"/>
        <v>0.26739926739926739</v>
      </c>
      <c r="R424" s="18">
        <f t="shared" si="31"/>
        <v>0.09</v>
      </c>
      <c r="S424" s="1" t="str">
        <f t="shared" si="32"/>
        <v>Small</v>
      </c>
      <c r="T424" s="18">
        <f t="shared" si="33"/>
        <v>0.73260073260073255</v>
      </c>
      <c r="U424" s="1" t="str">
        <f t="shared" si="34"/>
        <v>Profitable ✅</v>
      </c>
    </row>
    <row r="425" spans="1:21" x14ac:dyDescent="0.35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  <c r="Q425" s="18">
        <f t="shared" si="30"/>
        <v>8.4249084249084255E-2</v>
      </c>
      <c r="R425" s="18">
        <f t="shared" si="31"/>
        <v>0.09</v>
      </c>
      <c r="S425" s="1" t="str">
        <f t="shared" si="32"/>
        <v>Enterprise</v>
      </c>
      <c r="T425" s="18">
        <f t="shared" si="33"/>
        <v>0.91575091575091572</v>
      </c>
      <c r="U425" s="1" t="str">
        <f t="shared" si="34"/>
        <v>Profitable ✅</v>
      </c>
    </row>
    <row r="426" spans="1:21" x14ac:dyDescent="0.35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  <c r="Q426" s="18">
        <f t="shared" si="30"/>
        <v>0.18367346938775511</v>
      </c>
      <c r="R426" s="18">
        <f t="shared" si="31"/>
        <v>0.09</v>
      </c>
      <c r="S426" s="1" t="str">
        <f t="shared" si="32"/>
        <v>Enterprise</v>
      </c>
      <c r="T426" s="18">
        <f t="shared" si="33"/>
        <v>0.81632653061224492</v>
      </c>
      <c r="U426" s="1" t="str">
        <f t="shared" si="34"/>
        <v>Profitable ✅</v>
      </c>
    </row>
    <row r="427" spans="1:21" x14ac:dyDescent="0.35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  <c r="Q427" s="18">
        <f t="shared" si="30"/>
        <v>-5.4945054945054944E-2</v>
      </c>
      <c r="R427" s="18">
        <f t="shared" si="31"/>
        <v>0.09</v>
      </c>
      <c r="S427" s="1" t="str">
        <f t="shared" si="32"/>
        <v>Large</v>
      </c>
      <c r="T427" s="18">
        <f t="shared" si="33"/>
        <v>1.054945054945055</v>
      </c>
      <c r="U427" s="1" t="str">
        <f t="shared" si="34"/>
        <v>Loss ❌</v>
      </c>
    </row>
    <row r="428" spans="1:21" x14ac:dyDescent="0.35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  <c r="Q428" s="18">
        <f t="shared" si="30"/>
        <v>-5.4945054945054944E-2</v>
      </c>
      <c r="R428" s="18">
        <f t="shared" si="31"/>
        <v>0.09</v>
      </c>
      <c r="S428" s="1" t="str">
        <f t="shared" si="32"/>
        <v>Enterprise</v>
      </c>
      <c r="T428" s="18">
        <f t="shared" si="33"/>
        <v>1.054945054945055</v>
      </c>
      <c r="U428" s="1" t="str">
        <f t="shared" si="34"/>
        <v>Loss ❌</v>
      </c>
    </row>
    <row r="429" spans="1:21" x14ac:dyDescent="0.35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  <c r="Q429" s="18">
        <f t="shared" si="30"/>
        <v>0.18367346938775511</v>
      </c>
      <c r="R429" s="18">
        <f t="shared" si="31"/>
        <v>0.09</v>
      </c>
      <c r="S429" s="1" t="str">
        <f t="shared" si="32"/>
        <v>Enterprise</v>
      </c>
      <c r="T429" s="18">
        <f t="shared" si="33"/>
        <v>0.81632653061224492</v>
      </c>
      <c r="U429" s="1" t="str">
        <f t="shared" si="34"/>
        <v>Profitable ✅</v>
      </c>
    </row>
    <row r="430" spans="1:21" x14ac:dyDescent="0.35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  <c r="Q430" s="18">
        <f t="shared" si="30"/>
        <v>0.72527472527472525</v>
      </c>
      <c r="R430" s="18">
        <f t="shared" si="31"/>
        <v>0.09</v>
      </c>
      <c r="S430" s="1" t="str">
        <f t="shared" si="32"/>
        <v>Medium</v>
      </c>
      <c r="T430" s="18">
        <f t="shared" si="33"/>
        <v>0.27472527472527469</v>
      </c>
      <c r="U430" s="1" t="str">
        <f t="shared" si="34"/>
        <v>Profitable ✅</v>
      </c>
    </row>
    <row r="431" spans="1:21" x14ac:dyDescent="0.35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  <c r="Q431" s="18">
        <f t="shared" si="30"/>
        <v>8.4249084249084255E-2</v>
      </c>
      <c r="R431" s="18">
        <f t="shared" si="31"/>
        <v>0.09</v>
      </c>
      <c r="S431" s="1" t="str">
        <f t="shared" si="32"/>
        <v>Enterprise</v>
      </c>
      <c r="T431" s="18">
        <f t="shared" si="33"/>
        <v>0.91575091575091572</v>
      </c>
      <c r="U431" s="1" t="str">
        <f t="shared" si="34"/>
        <v>Profitable ✅</v>
      </c>
    </row>
    <row r="432" spans="1:21" x14ac:dyDescent="0.35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  <c r="Q432" s="18">
        <f t="shared" si="30"/>
        <v>0.18367346938775511</v>
      </c>
      <c r="R432" s="18">
        <f t="shared" si="31"/>
        <v>0.09</v>
      </c>
      <c r="S432" s="1" t="str">
        <f t="shared" si="32"/>
        <v>Enterprise</v>
      </c>
      <c r="T432" s="18">
        <f t="shared" si="33"/>
        <v>0.81632653061224492</v>
      </c>
      <c r="U432" s="1" t="str">
        <f t="shared" si="34"/>
        <v>Profitable ✅</v>
      </c>
    </row>
    <row r="433" spans="1:21" x14ac:dyDescent="0.35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  <c r="Q433" s="18">
        <f t="shared" si="30"/>
        <v>0.72527472527472525</v>
      </c>
      <c r="R433" s="18">
        <f t="shared" si="31"/>
        <v>0.09</v>
      </c>
      <c r="S433" s="1" t="str">
        <f t="shared" si="32"/>
        <v>Small</v>
      </c>
      <c r="T433" s="18">
        <f t="shared" si="33"/>
        <v>0.27472527472527469</v>
      </c>
      <c r="U433" s="1" t="str">
        <f t="shared" si="34"/>
        <v>Profitable ✅</v>
      </c>
    </row>
    <row r="434" spans="1:21" x14ac:dyDescent="0.35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  <c r="Q434" s="18">
        <f t="shared" si="30"/>
        <v>8.4249084249084255E-2</v>
      </c>
      <c r="R434" s="18">
        <f t="shared" si="31"/>
        <v>0.09</v>
      </c>
      <c r="S434" s="1" t="str">
        <f t="shared" si="32"/>
        <v>Enterprise</v>
      </c>
      <c r="T434" s="18">
        <f t="shared" si="33"/>
        <v>0.91575091575091572</v>
      </c>
      <c r="U434" s="1" t="str">
        <f t="shared" si="34"/>
        <v>Profitable ✅</v>
      </c>
    </row>
    <row r="435" spans="1:21" x14ac:dyDescent="0.35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  <c r="Q435" s="18">
        <f t="shared" si="30"/>
        <v>0.72527472527472525</v>
      </c>
      <c r="R435" s="18">
        <f t="shared" si="31"/>
        <v>0.09</v>
      </c>
      <c r="S435" s="1" t="str">
        <f t="shared" si="32"/>
        <v>Medium</v>
      </c>
      <c r="T435" s="18">
        <f t="shared" si="33"/>
        <v>0.27472527472527475</v>
      </c>
      <c r="U435" s="1" t="str">
        <f t="shared" si="34"/>
        <v>Profitable ✅</v>
      </c>
    </row>
    <row r="436" spans="1:21" x14ac:dyDescent="0.35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  <c r="Q436" s="18">
        <f t="shared" si="30"/>
        <v>0.26739926739926739</v>
      </c>
      <c r="R436" s="18">
        <f t="shared" si="31"/>
        <v>0.09</v>
      </c>
      <c r="S436" s="1" t="str">
        <f t="shared" si="32"/>
        <v>Medium</v>
      </c>
      <c r="T436" s="18">
        <f t="shared" si="33"/>
        <v>0.73260073260073266</v>
      </c>
      <c r="U436" s="1" t="str">
        <f t="shared" si="34"/>
        <v>Profitable ✅</v>
      </c>
    </row>
    <row r="437" spans="1:21" x14ac:dyDescent="0.35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  <c r="Q437" s="18">
        <f t="shared" si="30"/>
        <v>-5.4945054945054944E-2</v>
      </c>
      <c r="R437" s="18">
        <f t="shared" si="31"/>
        <v>0.09</v>
      </c>
      <c r="S437" s="1" t="str">
        <f t="shared" si="32"/>
        <v>Large</v>
      </c>
      <c r="T437" s="18">
        <f t="shared" si="33"/>
        <v>1.054945054945055</v>
      </c>
      <c r="U437" s="1" t="str">
        <f t="shared" si="34"/>
        <v>Loss ❌</v>
      </c>
    </row>
    <row r="438" spans="1:21" x14ac:dyDescent="0.35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  <c r="Q438" s="18">
        <f t="shared" si="30"/>
        <v>0.18367346938775511</v>
      </c>
      <c r="R438" s="18">
        <f t="shared" si="31"/>
        <v>0.09</v>
      </c>
      <c r="S438" s="1" t="str">
        <f t="shared" si="32"/>
        <v>Enterprise</v>
      </c>
      <c r="T438" s="18">
        <f t="shared" si="33"/>
        <v>0.81632653061224492</v>
      </c>
      <c r="U438" s="1" t="str">
        <f t="shared" si="34"/>
        <v>Profitable ✅</v>
      </c>
    </row>
    <row r="439" spans="1:21" x14ac:dyDescent="0.35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  <c r="Q439" s="18">
        <f t="shared" si="30"/>
        <v>0.18367346938775511</v>
      </c>
      <c r="R439" s="18">
        <f t="shared" si="31"/>
        <v>0.09</v>
      </c>
      <c r="S439" s="1" t="str">
        <f t="shared" si="32"/>
        <v>Enterprise</v>
      </c>
      <c r="T439" s="18">
        <f t="shared" si="33"/>
        <v>0.81632653061224492</v>
      </c>
      <c r="U439" s="1" t="str">
        <f t="shared" si="34"/>
        <v>Profitable ✅</v>
      </c>
    </row>
    <row r="440" spans="1:21" x14ac:dyDescent="0.35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  <c r="Q440" s="18">
        <f t="shared" si="30"/>
        <v>0.26739926739926739</v>
      </c>
      <c r="R440" s="18">
        <f t="shared" si="31"/>
        <v>0.09</v>
      </c>
      <c r="S440" s="1" t="str">
        <f t="shared" si="32"/>
        <v>Medium</v>
      </c>
      <c r="T440" s="18">
        <f t="shared" si="33"/>
        <v>0.73260073260073255</v>
      </c>
      <c r="U440" s="1" t="str">
        <f t="shared" si="34"/>
        <v>Profitable ✅</v>
      </c>
    </row>
    <row r="441" spans="1:21" x14ac:dyDescent="0.35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  <c r="Q441" s="18">
        <f t="shared" si="30"/>
        <v>0.45054945054945056</v>
      </c>
      <c r="R441" s="18">
        <f t="shared" si="31"/>
        <v>0.09</v>
      </c>
      <c r="S441" s="1" t="str">
        <f t="shared" si="32"/>
        <v>Medium</v>
      </c>
      <c r="T441" s="18">
        <f t="shared" si="33"/>
        <v>0.5494505494505495</v>
      </c>
      <c r="U441" s="1" t="str">
        <f t="shared" si="34"/>
        <v>Profitable ✅</v>
      </c>
    </row>
    <row r="442" spans="1:21" x14ac:dyDescent="0.35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  <c r="Q442" s="18">
        <f t="shared" si="30"/>
        <v>0.45054945054945056</v>
      </c>
      <c r="R442" s="18">
        <f t="shared" si="31"/>
        <v>9.0000000000000011E-2</v>
      </c>
      <c r="S442" s="1" t="str">
        <f t="shared" si="32"/>
        <v>Medium</v>
      </c>
      <c r="T442" s="18">
        <f t="shared" si="33"/>
        <v>0.54945054945054939</v>
      </c>
      <c r="U442" s="1" t="str">
        <f t="shared" si="34"/>
        <v>Profitable ✅</v>
      </c>
    </row>
    <row r="443" spans="1:21" x14ac:dyDescent="0.35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  <c r="Q443" s="18">
        <f t="shared" si="30"/>
        <v>0.21507064364207221</v>
      </c>
      <c r="R443" s="18">
        <f t="shared" si="31"/>
        <v>9.0000000000000011E-2</v>
      </c>
      <c r="S443" s="1" t="str">
        <f t="shared" si="32"/>
        <v>Small</v>
      </c>
      <c r="T443" s="18">
        <f t="shared" si="33"/>
        <v>0.78492935635792782</v>
      </c>
      <c r="U443" s="1" t="str">
        <f t="shared" si="34"/>
        <v>Profitable ✅</v>
      </c>
    </row>
    <row r="444" spans="1:21" x14ac:dyDescent="0.35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  <c r="Q444" s="18">
        <f t="shared" si="30"/>
        <v>0.72527472527472525</v>
      </c>
      <c r="R444" s="18">
        <f t="shared" si="31"/>
        <v>9.0000000000000011E-2</v>
      </c>
      <c r="S444" s="1" t="str">
        <f t="shared" si="32"/>
        <v>Medium</v>
      </c>
      <c r="T444" s="18">
        <f t="shared" si="33"/>
        <v>0.27472527472527475</v>
      </c>
      <c r="U444" s="1" t="str">
        <f t="shared" si="34"/>
        <v>Profitable ✅</v>
      </c>
    </row>
    <row r="445" spans="1:21" x14ac:dyDescent="0.35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  <c r="Q445" s="18">
        <f t="shared" si="30"/>
        <v>0.21507064364207221</v>
      </c>
      <c r="R445" s="18">
        <f t="shared" si="31"/>
        <v>9.0000000000000011E-2</v>
      </c>
      <c r="S445" s="1" t="str">
        <f t="shared" si="32"/>
        <v>Small</v>
      </c>
      <c r="T445" s="18">
        <f t="shared" si="33"/>
        <v>0.78492935635792782</v>
      </c>
      <c r="U445" s="1" t="str">
        <f t="shared" si="34"/>
        <v>Profitable ✅</v>
      </c>
    </row>
    <row r="446" spans="1:21" x14ac:dyDescent="0.35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  <c r="Q446" s="18">
        <f t="shared" si="30"/>
        <v>0.4505494505494505</v>
      </c>
      <c r="R446" s="18">
        <f t="shared" si="31"/>
        <v>9.0000000000000011E-2</v>
      </c>
      <c r="S446" s="1" t="str">
        <f t="shared" si="32"/>
        <v>Medium</v>
      </c>
      <c r="T446" s="18">
        <f t="shared" si="33"/>
        <v>0.5494505494505495</v>
      </c>
      <c r="U446" s="1" t="str">
        <f t="shared" si="34"/>
        <v>Profitable ✅</v>
      </c>
    </row>
    <row r="447" spans="1:21" x14ac:dyDescent="0.35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  <c r="Q447" s="18">
        <f t="shared" si="30"/>
        <v>0.4505494505494505</v>
      </c>
      <c r="R447" s="18">
        <f t="shared" si="31"/>
        <v>9.0000000000000011E-2</v>
      </c>
      <c r="S447" s="1" t="str">
        <f t="shared" si="32"/>
        <v>Medium</v>
      </c>
      <c r="T447" s="18">
        <f t="shared" si="33"/>
        <v>0.5494505494505495</v>
      </c>
      <c r="U447" s="1" t="str">
        <f t="shared" si="34"/>
        <v>Profitable ✅</v>
      </c>
    </row>
    <row r="448" spans="1:21" x14ac:dyDescent="0.35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  <c r="Q448" s="18">
        <f t="shared" si="30"/>
        <v>0.21507064364207215</v>
      </c>
      <c r="R448" s="18">
        <f t="shared" si="31"/>
        <v>9.0000000000000011E-2</v>
      </c>
      <c r="S448" s="1" t="str">
        <f t="shared" si="32"/>
        <v>Small</v>
      </c>
      <c r="T448" s="18">
        <f t="shared" si="33"/>
        <v>0.78492935635792782</v>
      </c>
      <c r="U448" s="1" t="str">
        <f t="shared" si="34"/>
        <v>Profitable ✅</v>
      </c>
    </row>
    <row r="449" spans="1:21" x14ac:dyDescent="0.35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  <c r="Q449" s="18">
        <f t="shared" si="30"/>
        <v>0.72527472527472525</v>
      </c>
      <c r="R449" s="18">
        <f t="shared" si="31"/>
        <v>9.0000000000000011E-2</v>
      </c>
      <c r="S449" s="1" t="str">
        <f t="shared" si="32"/>
        <v>Medium</v>
      </c>
      <c r="T449" s="18">
        <f t="shared" si="33"/>
        <v>0.27472527472527475</v>
      </c>
      <c r="U449" s="1" t="str">
        <f t="shared" si="34"/>
        <v>Profitable ✅</v>
      </c>
    </row>
    <row r="450" spans="1:21" x14ac:dyDescent="0.35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  <c r="Q450" s="18">
        <f t="shared" ref="Q450:Q513" si="35">IF(J450=0,0,L450/J450)</f>
        <v>0.26739926739926734</v>
      </c>
      <c r="R450" s="18">
        <f t="shared" ref="R450:R513" si="36">IF(H450=0,0, I450/H450)</f>
        <v>9.0000000000000011E-2</v>
      </c>
      <c r="S450" s="1" t="str">
        <f t="shared" ref="S450:S513" si="37">IF(J450&lt;10000,"Small",IF(J450&lt;50000,"Medium",IF(J450&lt;200000,"Large","Enterprise")))</f>
        <v>Medium</v>
      </c>
      <c r="T450" s="18">
        <f t="shared" ref="T450:T513" si="38">IF(J450=0,0,K450/J450)</f>
        <v>0.73260073260073266</v>
      </c>
      <c r="U450" s="1" t="str">
        <f t="shared" ref="U450:U513" si="39">IFERROR(IF(L450&gt;0,"Profitable ✅",IF(L450=0,"Breakeven ⚖️","Loss ❌")),"Check Data 📊")</f>
        <v>Profitable ✅</v>
      </c>
    </row>
    <row r="451" spans="1:21" x14ac:dyDescent="0.35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  <c r="Q451" s="18">
        <f t="shared" si="35"/>
        <v>0.21507064364207215</v>
      </c>
      <c r="R451" s="18">
        <f t="shared" si="36"/>
        <v>9.0000000000000011E-2</v>
      </c>
      <c r="S451" s="1" t="str">
        <f t="shared" si="37"/>
        <v>Small</v>
      </c>
      <c r="T451" s="18">
        <f t="shared" si="38"/>
        <v>0.78492935635792782</v>
      </c>
      <c r="U451" s="1" t="str">
        <f t="shared" si="39"/>
        <v>Profitable ✅</v>
      </c>
    </row>
    <row r="452" spans="1:21" x14ac:dyDescent="0.35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  <c r="Q452" s="18">
        <f t="shared" si="35"/>
        <v>0.45054945054945056</v>
      </c>
      <c r="R452" s="18">
        <f t="shared" si="36"/>
        <v>9.0000000000000011E-2</v>
      </c>
      <c r="S452" s="1" t="str">
        <f t="shared" si="37"/>
        <v>Medium</v>
      </c>
      <c r="T452" s="18">
        <f t="shared" si="38"/>
        <v>0.54945054945054939</v>
      </c>
      <c r="U452" s="1" t="str">
        <f t="shared" si="39"/>
        <v>Profitable ✅</v>
      </c>
    </row>
    <row r="453" spans="1:21" x14ac:dyDescent="0.35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  <c r="Q453" s="18">
        <f t="shared" si="35"/>
        <v>0.21507064364207221</v>
      </c>
      <c r="R453" s="18">
        <f t="shared" si="36"/>
        <v>9.0000000000000011E-2</v>
      </c>
      <c r="S453" s="1" t="str">
        <f t="shared" si="37"/>
        <v>Small</v>
      </c>
      <c r="T453" s="18">
        <f t="shared" si="38"/>
        <v>0.78492935635792782</v>
      </c>
      <c r="U453" s="1" t="str">
        <f t="shared" si="39"/>
        <v>Profitable ✅</v>
      </c>
    </row>
    <row r="454" spans="1:21" x14ac:dyDescent="0.35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  <c r="Q454" s="18">
        <f t="shared" si="35"/>
        <v>0.4505494505494505</v>
      </c>
      <c r="R454" s="18">
        <f t="shared" si="36"/>
        <v>9.0000000000000011E-2</v>
      </c>
      <c r="S454" s="1" t="str">
        <f t="shared" si="37"/>
        <v>Medium</v>
      </c>
      <c r="T454" s="18">
        <f t="shared" si="38"/>
        <v>0.5494505494505495</v>
      </c>
      <c r="U454" s="1" t="str">
        <f t="shared" si="39"/>
        <v>Profitable ✅</v>
      </c>
    </row>
    <row r="455" spans="1:21" x14ac:dyDescent="0.35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  <c r="Q455" s="18">
        <f t="shared" si="35"/>
        <v>0.26739926739926739</v>
      </c>
      <c r="R455" s="18">
        <f t="shared" si="36"/>
        <v>9.0000000000000011E-2</v>
      </c>
      <c r="S455" s="1" t="str">
        <f t="shared" si="37"/>
        <v>Medium</v>
      </c>
      <c r="T455" s="18">
        <f t="shared" si="38"/>
        <v>0.73260073260073266</v>
      </c>
      <c r="U455" s="1" t="str">
        <f t="shared" si="39"/>
        <v>Profitable ✅</v>
      </c>
    </row>
    <row r="456" spans="1:21" x14ac:dyDescent="0.35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  <c r="Q456" s="18">
        <f t="shared" si="35"/>
        <v>0.72527472527472525</v>
      </c>
      <c r="R456" s="18">
        <f t="shared" si="36"/>
        <v>9.0000000000000011E-2</v>
      </c>
      <c r="S456" s="1" t="str">
        <f t="shared" si="37"/>
        <v>Small</v>
      </c>
      <c r="T456" s="18">
        <f t="shared" si="38"/>
        <v>0.27472527472527475</v>
      </c>
      <c r="U456" s="1" t="str">
        <f t="shared" si="39"/>
        <v>Profitable ✅</v>
      </c>
    </row>
    <row r="457" spans="1:21" x14ac:dyDescent="0.35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  <c r="Q457" s="18">
        <f t="shared" si="35"/>
        <v>0.72222222222222221</v>
      </c>
      <c r="R457" s="18">
        <f t="shared" si="36"/>
        <v>9.9999999999999992E-2</v>
      </c>
      <c r="S457" s="1" t="str">
        <f t="shared" si="37"/>
        <v>Small</v>
      </c>
      <c r="T457" s="18">
        <f t="shared" si="38"/>
        <v>0.27777777777777779</v>
      </c>
      <c r="U457" s="1" t="str">
        <f t="shared" si="39"/>
        <v>Profitable ✅</v>
      </c>
    </row>
    <row r="458" spans="1:21" x14ac:dyDescent="0.35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  <c r="Q458" s="18">
        <f t="shared" si="35"/>
        <v>0.20634920634920634</v>
      </c>
      <c r="R458" s="18">
        <f t="shared" si="36"/>
        <v>9.9999999999999992E-2</v>
      </c>
      <c r="S458" s="1" t="str">
        <f t="shared" si="37"/>
        <v>Medium</v>
      </c>
      <c r="T458" s="18">
        <f t="shared" si="38"/>
        <v>0.79365079365079372</v>
      </c>
      <c r="U458" s="1" t="str">
        <f t="shared" si="39"/>
        <v>Profitable ✅</v>
      </c>
    </row>
    <row r="459" spans="1:21" x14ac:dyDescent="0.35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  <c r="Q459" s="18">
        <f t="shared" si="35"/>
        <v>0.72222222222222221</v>
      </c>
      <c r="R459" s="18">
        <f t="shared" si="36"/>
        <v>9.9999999999999992E-2</v>
      </c>
      <c r="S459" s="1" t="str">
        <f t="shared" si="37"/>
        <v>Small</v>
      </c>
      <c r="T459" s="18">
        <f t="shared" si="38"/>
        <v>0.27777777777777779</v>
      </c>
      <c r="U459" s="1" t="str">
        <f t="shared" si="39"/>
        <v>Profitable ✅</v>
      </c>
    </row>
    <row r="460" spans="1:21" x14ac:dyDescent="0.35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  <c r="Q460" s="18">
        <f t="shared" si="35"/>
        <v>-6.6666666666666666E-2</v>
      </c>
      <c r="R460" s="18">
        <f t="shared" si="36"/>
        <v>0.1</v>
      </c>
      <c r="S460" s="1" t="str">
        <f t="shared" si="37"/>
        <v>Enterprise</v>
      </c>
      <c r="T460" s="18">
        <f t="shared" si="38"/>
        <v>1.0666666666666667</v>
      </c>
      <c r="U460" s="1" t="str">
        <f t="shared" si="39"/>
        <v>Loss ❌</v>
      </c>
    </row>
    <row r="461" spans="1:21" x14ac:dyDescent="0.35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  <c r="Q461" s="18">
        <f t="shared" si="35"/>
        <v>-6.6666666666666666E-2</v>
      </c>
      <c r="R461" s="18">
        <f t="shared" si="36"/>
        <v>0.1</v>
      </c>
      <c r="S461" s="1" t="str">
        <f t="shared" si="37"/>
        <v>Large</v>
      </c>
      <c r="T461" s="18">
        <f t="shared" si="38"/>
        <v>1.0666666666666667</v>
      </c>
      <c r="U461" s="1" t="str">
        <f t="shared" si="39"/>
        <v>Loss ❌</v>
      </c>
    </row>
    <row r="462" spans="1:21" x14ac:dyDescent="0.35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  <c r="Q462" s="18">
        <f t="shared" si="35"/>
        <v>0.17460317460317459</v>
      </c>
      <c r="R462" s="18">
        <f t="shared" si="36"/>
        <v>0.1</v>
      </c>
      <c r="S462" s="1" t="str">
        <f t="shared" si="37"/>
        <v>Enterprise</v>
      </c>
      <c r="T462" s="18">
        <f t="shared" si="38"/>
        <v>0.82539682539682535</v>
      </c>
      <c r="U462" s="1" t="str">
        <f t="shared" si="39"/>
        <v>Profitable ✅</v>
      </c>
    </row>
    <row r="463" spans="1:21" x14ac:dyDescent="0.35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  <c r="Q463" s="18">
        <f t="shared" si="35"/>
        <v>-6.6666666666666666E-2</v>
      </c>
      <c r="R463" s="18">
        <f t="shared" si="36"/>
        <v>0.1</v>
      </c>
      <c r="S463" s="1" t="str">
        <f t="shared" si="37"/>
        <v>Enterprise</v>
      </c>
      <c r="T463" s="18">
        <f t="shared" si="38"/>
        <v>1.0666666666666667</v>
      </c>
      <c r="U463" s="1" t="str">
        <f t="shared" si="39"/>
        <v>Loss ❌</v>
      </c>
    </row>
    <row r="464" spans="1:21" x14ac:dyDescent="0.35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  <c r="Q464" s="18">
        <f t="shared" si="35"/>
        <v>0.25925925925925924</v>
      </c>
      <c r="R464" s="18">
        <f t="shared" si="36"/>
        <v>0.1</v>
      </c>
      <c r="S464" s="1" t="str">
        <f t="shared" si="37"/>
        <v>Medium</v>
      </c>
      <c r="T464" s="18">
        <f t="shared" si="38"/>
        <v>0.7407407407407407</v>
      </c>
      <c r="U464" s="1" t="str">
        <f t="shared" si="39"/>
        <v>Profitable ✅</v>
      </c>
    </row>
    <row r="465" spans="1:21" x14ac:dyDescent="0.35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  <c r="Q465" s="18">
        <f t="shared" si="35"/>
        <v>0.44444444444444442</v>
      </c>
      <c r="R465" s="18">
        <f t="shared" si="36"/>
        <v>0.1</v>
      </c>
      <c r="S465" s="1" t="str">
        <f t="shared" si="37"/>
        <v>Medium</v>
      </c>
      <c r="T465" s="18">
        <f t="shared" si="38"/>
        <v>0.55555555555555558</v>
      </c>
      <c r="U465" s="1" t="str">
        <f t="shared" si="39"/>
        <v>Profitable ✅</v>
      </c>
    </row>
    <row r="466" spans="1:21" x14ac:dyDescent="0.35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  <c r="Q466" s="18">
        <f t="shared" si="35"/>
        <v>7.407407407407407E-2</v>
      </c>
      <c r="R466" s="18">
        <f t="shared" si="36"/>
        <v>0.1</v>
      </c>
      <c r="S466" s="1" t="str">
        <f t="shared" si="37"/>
        <v>Large</v>
      </c>
      <c r="T466" s="18">
        <f t="shared" si="38"/>
        <v>0.92592592592592593</v>
      </c>
      <c r="U466" s="1" t="str">
        <f t="shared" si="39"/>
        <v>Profitable ✅</v>
      </c>
    </row>
    <row r="467" spans="1:21" x14ac:dyDescent="0.35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  <c r="Q467" s="18">
        <f t="shared" si="35"/>
        <v>0.25925925925925924</v>
      </c>
      <c r="R467" s="18">
        <f t="shared" si="36"/>
        <v>0.1</v>
      </c>
      <c r="S467" s="1" t="str">
        <f t="shared" si="37"/>
        <v>Medium</v>
      </c>
      <c r="T467" s="18">
        <f t="shared" si="38"/>
        <v>0.7407407407407407</v>
      </c>
      <c r="U467" s="1" t="str">
        <f t="shared" si="39"/>
        <v>Profitable ✅</v>
      </c>
    </row>
    <row r="468" spans="1:21" x14ac:dyDescent="0.35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  <c r="Q468" s="18">
        <f t="shared" si="35"/>
        <v>0.44444444444444442</v>
      </c>
      <c r="R468" s="18">
        <f t="shared" si="36"/>
        <v>0.1</v>
      </c>
      <c r="S468" s="1" t="str">
        <f t="shared" si="37"/>
        <v>Small</v>
      </c>
      <c r="T468" s="18">
        <f t="shared" si="38"/>
        <v>0.55555555555555558</v>
      </c>
      <c r="U468" s="1" t="str">
        <f t="shared" si="39"/>
        <v>Profitable ✅</v>
      </c>
    </row>
    <row r="469" spans="1:21" x14ac:dyDescent="0.35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  <c r="Q469" s="18">
        <f t="shared" si="35"/>
        <v>0.25925925925925924</v>
      </c>
      <c r="R469" s="18">
        <f t="shared" si="36"/>
        <v>0.1</v>
      </c>
      <c r="S469" s="1" t="str">
        <f t="shared" si="37"/>
        <v>Small</v>
      </c>
      <c r="T469" s="18">
        <f t="shared" si="38"/>
        <v>0.7407407407407407</v>
      </c>
      <c r="U469" s="1" t="str">
        <f t="shared" si="39"/>
        <v>Profitable ✅</v>
      </c>
    </row>
    <row r="470" spans="1:21" x14ac:dyDescent="0.35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  <c r="Q470" s="18">
        <f t="shared" si="35"/>
        <v>0.25925925925925924</v>
      </c>
      <c r="R470" s="18">
        <f t="shared" si="36"/>
        <v>0.1</v>
      </c>
      <c r="S470" s="1" t="str">
        <f t="shared" si="37"/>
        <v>Small</v>
      </c>
      <c r="T470" s="18">
        <f t="shared" si="38"/>
        <v>0.7407407407407407</v>
      </c>
      <c r="U470" s="1" t="str">
        <f t="shared" si="39"/>
        <v>Profitable ✅</v>
      </c>
    </row>
    <row r="471" spans="1:21" x14ac:dyDescent="0.35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  <c r="Q471" s="18">
        <f t="shared" si="35"/>
        <v>0.25925925925925924</v>
      </c>
      <c r="R471" s="18">
        <f t="shared" si="36"/>
        <v>0.1</v>
      </c>
      <c r="S471" s="1" t="str">
        <f t="shared" si="37"/>
        <v>Medium</v>
      </c>
      <c r="T471" s="18">
        <f t="shared" si="38"/>
        <v>0.7407407407407407</v>
      </c>
      <c r="U471" s="1" t="str">
        <f t="shared" si="39"/>
        <v>Profitable ✅</v>
      </c>
    </row>
    <row r="472" spans="1:21" x14ac:dyDescent="0.35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  <c r="Q472" s="18">
        <f t="shared" si="35"/>
        <v>0.17460317460317459</v>
      </c>
      <c r="R472" s="18">
        <f t="shared" si="36"/>
        <v>0.1</v>
      </c>
      <c r="S472" s="1" t="str">
        <f t="shared" si="37"/>
        <v>Enterprise</v>
      </c>
      <c r="T472" s="18">
        <f t="shared" si="38"/>
        <v>0.82539682539682535</v>
      </c>
      <c r="U472" s="1" t="str">
        <f t="shared" si="39"/>
        <v>Profitable ✅</v>
      </c>
    </row>
    <row r="473" spans="1:21" x14ac:dyDescent="0.35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  <c r="Q473" s="18">
        <f t="shared" si="35"/>
        <v>-6.6666666666666666E-2</v>
      </c>
      <c r="R473" s="18">
        <f t="shared" si="36"/>
        <v>0.1</v>
      </c>
      <c r="S473" s="1" t="str">
        <f t="shared" si="37"/>
        <v>Large</v>
      </c>
      <c r="T473" s="18">
        <f t="shared" si="38"/>
        <v>1.0666666666666667</v>
      </c>
      <c r="U473" s="1" t="str">
        <f t="shared" si="39"/>
        <v>Loss ❌</v>
      </c>
    </row>
    <row r="474" spans="1:21" x14ac:dyDescent="0.35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  <c r="Q474" s="18">
        <f t="shared" si="35"/>
        <v>7.407407407407407E-2</v>
      </c>
      <c r="R474" s="18">
        <f t="shared" si="36"/>
        <v>0.1</v>
      </c>
      <c r="S474" s="1" t="str">
        <f t="shared" si="37"/>
        <v>Enterprise</v>
      </c>
      <c r="T474" s="18">
        <f t="shared" si="38"/>
        <v>0.92592592592592593</v>
      </c>
      <c r="U474" s="1" t="str">
        <f t="shared" si="39"/>
        <v>Profitable ✅</v>
      </c>
    </row>
    <row r="475" spans="1:21" x14ac:dyDescent="0.35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  <c r="Q475" s="18">
        <f t="shared" si="35"/>
        <v>0.44444444444444442</v>
      </c>
      <c r="R475" s="18">
        <f t="shared" si="36"/>
        <v>0.1</v>
      </c>
      <c r="S475" s="1" t="str">
        <f t="shared" si="37"/>
        <v>Small</v>
      </c>
      <c r="T475" s="18">
        <f t="shared" si="38"/>
        <v>0.55555555555555558</v>
      </c>
      <c r="U475" s="1" t="str">
        <f t="shared" si="39"/>
        <v>Profitable ✅</v>
      </c>
    </row>
    <row r="476" spans="1:21" x14ac:dyDescent="0.35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  <c r="Q476" s="18">
        <f t="shared" si="35"/>
        <v>0.20634920634920634</v>
      </c>
      <c r="R476" s="18">
        <f t="shared" si="36"/>
        <v>0.1</v>
      </c>
      <c r="S476" s="1" t="str">
        <f t="shared" si="37"/>
        <v>Medium</v>
      </c>
      <c r="T476" s="18">
        <f t="shared" si="38"/>
        <v>0.79365079365079361</v>
      </c>
      <c r="U476" s="1" t="str">
        <f t="shared" si="39"/>
        <v>Profitable ✅</v>
      </c>
    </row>
    <row r="477" spans="1:21" x14ac:dyDescent="0.35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  <c r="Q477" s="18">
        <f t="shared" si="35"/>
        <v>-6.6666666666666666E-2</v>
      </c>
      <c r="R477" s="18">
        <f t="shared" si="36"/>
        <v>0.1</v>
      </c>
      <c r="S477" s="1" t="str">
        <f t="shared" si="37"/>
        <v>Enterprise</v>
      </c>
      <c r="T477" s="18">
        <f t="shared" si="38"/>
        <v>1.0666666666666667</v>
      </c>
      <c r="U477" s="1" t="str">
        <f t="shared" si="39"/>
        <v>Loss ❌</v>
      </c>
    </row>
    <row r="478" spans="1:21" x14ac:dyDescent="0.35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  <c r="Q478" s="18">
        <f t="shared" si="35"/>
        <v>7.407407407407407E-2</v>
      </c>
      <c r="R478" s="18">
        <f t="shared" si="36"/>
        <v>0.1</v>
      </c>
      <c r="S478" s="1" t="str">
        <f t="shared" si="37"/>
        <v>Enterprise</v>
      </c>
      <c r="T478" s="18">
        <f t="shared" si="38"/>
        <v>0.92592592592592593</v>
      </c>
      <c r="U478" s="1" t="str">
        <f t="shared" si="39"/>
        <v>Profitable ✅</v>
      </c>
    </row>
    <row r="479" spans="1:21" x14ac:dyDescent="0.35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  <c r="Q479" s="18">
        <f t="shared" si="35"/>
        <v>-6.6666666666666666E-2</v>
      </c>
      <c r="R479" s="18">
        <f t="shared" si="36"/>
        <v>0.1</v>
      </c>
      <c r="S479" s="1" t="str">
        <f t="shared" si="37"/>
        <v>Medium</v>
      </c>
      <c r="T479" s="18">
        <f t="shared" si="38"/>
        <v>1.0666666666666667</v>
      </c>
      <c r="U479" s="1" t="str">
        <f t="shared" si="39"/>
        <v>Loss ❌</v>
      </c>
    </row>
    <row r="480" spans="1:21" x14ac:dyDescent="0.35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  <c r="Q480" s="18">
        <f t="shared" si="35"/>
        <v>0.25925925925925924</v>
      </c>
      <c r="R480" s="18">
        <f t="shared" si="36"/>
        <v>0.1</v>
      </c>
      <c r="S480" s="1" t="str">
        <f t="shared" si="37"/>
        <v>Small</v>
      </c>
      <c r="T480" s="18">
        <f t="shared" si="38"/>
        <v>0.7407407407407407</v>
      </c>
      <c r="U480" s="1" t="str">
        <f t="shared" si="39"/>
        <v>Profitable ✅</v>
      </c>
    </row>
    <row r="481" spans="1:21" x14ac:dyDescent="0.35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  <c r="Q481" s="18">
        <f t="shared" si="35"/>
        <v>0.17460317460317459</v>
      </c>
      <c r="R481" s="18">
        <f t="shared" si="36"/>
        <v>0.1</v>
      </c>
      <c r="S481" s="1" t="str">
        <f t="shared" si="37"/>
        <v>Enterprise</v>
      </c>
      <c r="T481" s="18">
        <f t="shared" si="38"/>
        <v>0.82539682539682535</v>
      </c>
      <c r="U481" s="1" t="str">
        <f t="shared" si="39"/>
        <v>Profitable ✅</v>
      </c>
    </row>
    <row r="482" spans="1:21" x14ac:dyDescent="0.35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  <c r="Q482" s="18">
        <f t="shared" si="35"/>
        <v>7.407407407407407E-2</v>
      </c>
      <c r="R482" s="18">
        <f t="shared" si="36"/>
        <v>0.1</v>
      </c>
      <c r="S482" s="1" t="str">
        <f t="shared" si="37"/>
        <v>Large</v>
      </c>
      <c r="T482" s="18">
        <f t="shared" si="38"/>
        <v>0.92592592592592593</v>
      </c>
      <c r="U482" s="1" t="str">
        <f t="shared" si="39"/>
        <v>Profitable ✅</v>
      </c>
    </row>
    <row r="483" spans="1:21" x14ac:dyDescent="0.35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  <c r="Q483" s="18">
        <f t="shared" si="35"/>
        <v>7.407407407407407E-2</v>
      </c>
      <c r="R483" s="18">
        <f t="shared" si="36"/>
        <v>0.1</v>
      </c>
      <c r="S483" s="1" t="str">
        <f t="shared" si="37"/>
        <v>Enterprise</v>
      </c>
      <c r="T483" s="18">
        <f t="shared" si="38"/>
        <v>0.92592592592592593</v>
      </c>
      <c r="U483" s="1" t="str">
        <f t="shared" si="39"/>
        <v>Profitable ✅</v>
      </c>
    </row>
    <row r="484" spans="1:21" x14ac:dyDescent="0.35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  <c r="Q484" s="18">
        <f t="shared" si="35"/>
        <v>0.25925925925925924</v>
      </c>
      <c r="R484" s="18">
        <f t="shared" si="36"/>
        <v>0.1</v>
      </c>
      <c r="S484" s="1" t="str">
        <f t="shared" si="37"/>
        <v>Medium</v>
      </c>
      <c r="T484" s="18">
        <f t="shared" si="38"/>
        <v>0.7407407407407407</v>
      </c>
      <c r="U484" s="1" t="str">
        <f t="shared" si="39"/>
        <v>Profitable ✅</v>
      </c>
    </row>
    <row r="485" spans="1:21" x14ac:dyDescent="0.35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  <c r="Q485" s="18">
        <f t="shared" si="35"/>
        <v>-6.6666666666666666E-2</v>
      </c>
      <c r="R485" s="18">
        <f t="shared" si="36"/>
        <v>0.1</v>
      </c>
      <c r="S485" s="1" t="str">
        <f t="shared" si="37"/>
        <v>Enterprise</v>
      </c>
      <c r="T485" s="18">
        <f t="shared" si="38"/>
        <v>1.0666666666666667</v>
      </c>
      <c r="U485" s="1" t="str">
        <f t="shared" si="39"/>
        <v>Loss ❌</v>
      </c>
    </row>
    <row r="486" spans="1:21" x14ac:dyDescent="0.35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  <c r="Q486" s="18">
        <f t="shared" si="35"/>
        <v>0.17460317460317459</v>
      </c>
      <c r="R486" s="18">
        <f t="shared" si="36"/>
        <v>0.1</v>
      </c>
      <c r="S486" s="1" t="str">
        <f t="shared" si="37"/>
        <v>Enterprise</v>
      </c>
      <c r="T486" s="18">
        <f t="shared" si="38"/>
        <v>0.82539682539682535</v>
      </c>
      <c r="U486" s="1" t="str">
        <f t="shared" si="39"/>
        <v>Profitable ✅</v>
      </c>
    </row>
    <row r="487" spans="1:21" x14ac:dyDescent="0.35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  <c r="Q487" s="18">
        <f t="shared" si="35"/>
        <v>-6.6666666666666666E-2</v>
      </c>
      <c r="R487" s="18">
        <f t="shared" si="36"/>
        <v>0.1</v>
      </c>
      <c r="S487" s="1" t="str">
        <f t="shared" si="37"/>
        <v>Large</v>
      </c>
      <c r="T487" s="18">
        <f t="shared" si="38"/>
        <v>1.0666666666666667</v>
      </c>
      <c r="U487" s="1" t="str">
        <f t="shared" si="39"/>
        <v>Loss ❌</v>
      </c>
    </row>
    <row r="488" spans="1:21" x14ac:dyDescent="0.35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  <c r="Q488" s="18">
        <f t="shared" si="35"/>
        <v>0.17460317460317459</v>
      </c>
      <c r="R488" s="18">
        <f t="shared" si="36"/>
        <v>0.1</v>
      </c>
      <c r="S488" s="1" t="str">
        <f t="shared" si="37"/>
        <v>Enterprise</v>
      </c>
      <c r="T488" s="18">
        <f t="shared" si="38"/>
        <v>0.82539682539682535</v>
      </c>
      <c r="U488" s="1" t="str">
        <f t="shared" si="39"/>
        <v>Profitable ✅</v>
      </c>
    </row>
    <row r="489" spans="1:21" x14ac:dyDescent="0.35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  <c r="Q489" s="18">
        <f t="shared" si="35"/>
        <v>7.407407407407407E-2</v>
      </c>
      <c r="R489" s="18">
        <f t="shared" si="36"/>
        <v>0.1</v>
      </c>
      <c r="S489" s="1" t="str">
        <f t="shared" si="37"/>
        <v>Enterprise</v>
      </c>
      <c r="T489" s="18">
        <f t="shared" si="38"/>
        <v>0.92592592592592593</v>
      </c>
      <c r="U489" s="1" t="str">
        <f t="shared" si="39"/>
        <v>Profitable ✅</v>
      </c>
    </row>
    <row r="490" spans="1:21" x14ac:dyDescent="0.35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  <c r="Q490" s="18">
        <f t="shared" si="35"/>
        <v>0.72222222222222232</v>
      </c>
      <c r="R490" s="18">
        <f t="shared" si="36"/>
        <v>0.1</v>
      </c>
      <c r="S490" s="1" t="str">
        <f t="shared" si="37"/>
        <v>Medium</v>
      </c>
      <c r="T490" s="18">
        <f t="shared" si="38"/>
        <v>0.27777777777777785</v>
      </c>
      <c r="U490" s="1" t="str">
        <f t="shared" si="39"/>
        <v>Profitable ✅</v>
      </c>
    </row>
    <row r="491" spans="1:21" x14ac:dyDescent="0.35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  <c r="Q491" s="18">
        <f t="shared" si="35"/>
        <v>0.44444444444444442</v>
      </c>
      <c r="R491" s="18">
        <f t="shared" si="36"/>
        <v>0.1</v>
      </c>
      <c r="S491" s="1" t="str">
        <f t="shared" si="37"/>
        <v>Medium</v>
      </c>
      <c r="T491" s="18">
        <f t="shared" si="38"/>
        <v>0.55555555555555558</v>
      </c>
      <c r="U491" s="1" t="str">
        <f t="shared" si="39"/>
        <v>Profitable ✅</v>
      </c>
    </row>
    <row r="492" spans="1:21" x14ac:dyDescent="0.35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  <c r="Q492" s="18">
        <f t="shared" si="35"/>
        <v>0.72222222222222221</v>
      </c>
      <c r="R492" s="18">
        <f t="shared" si="36"/>
        <v>0.1</v>
      </c>
      <c r="S492" s="1" t="str">
        <f t="shared" si="37"/>
        <v>Medium</v>
      </c>
      <c r="T492" s="18">
        <f t="shared" si="38"/>
        <v>0.27777777777777779</v>
      </c>
      <c r="U492" s="1" t="str">
        <f t="shared" si="39"/>
        <v>Profitable ✅</v>
      </c>
    </row>
    <row r="493" spans="1:21" x14ac:dyDescent="0.35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  <c r="Q493" s="18">
        <f t="shared" si="35"/>
        <v>0.17460317460317459</v>
      </c>
      <c r="R493" s="18">
        <f t="shared" si="36"/>
        <v>0.1</v>
      </c>
      <c r="S493" s="1" t="str">
        <f t="shared" si="37"/>
        <v>Enterprise</v>
      </c>
      <c r="T493" s="18">
        <f t="shared" si="38"/>
        <v>0.82539682539682535</v>
      </c>
      <c r="U493" s="1" t="str">
        <f t="shared" si="39"/>
        <v>Profitable ✅</v>
      </c>
    </row>
    <row r="494" spans="1:21" x14ac:dyDescent="0.35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  <c r="Q494" s="18">
        <f t="shared" si="35"/>
        <v>0.25925925925925924</v>
      </c>
      <c r="R494" s="18">
        <f t="shared" si="36"/>
        <v>0.1</v>
      </c>
      <c r="S494" s="1" t="str">
        <f t="shared" si="37"/>
        <v>Medium</v>
      </c>
      <c r="T494" s="18">
        <f t="shared" si="38"/>
        <v>0.7407407407407407</v>
      </c>
      <c r="U494" s="1" t="str">
        <f t="shared" si="39"/>
        <v>Profitable ✅</v>
      </c>
    </row>
    <row r="495" spans="1:21" x14ac:dyDescent="0.35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  <c r="Q495" s="18">
        <f t="shared" si="35"/>
        <v>7.407407407407407E-2</v>
      </c>
      <c r="R495" s="18">
        <f t="shared" si="36"/>
        <v>0.1</v>
      </c>
      <c r="S495" s="1" t="str">
        <f t="shared" si="37"/>
        <v>Enterprise</v>
      </c>
      <c r="T495" s="18">
        <f t="shared" si="38"/>
        <v>0.92592592592592593</v>
      </c>
      <c r="U495" s="1" t="str">
        <f t="shared" si="39"/>
        <v>Profitable ✅</v>
      </c>
    </row>
    <row r="496" spans="1:21" x14ac:dyDescent="0.35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  <c r="Q496" s="18">
        <f t="shared" si="35"/>
        <v>0.7191011235955056</v>
      </c>
      <c r="R496" s="18">
        <f t="shared" si="36"/>
        <v>0.10999999999999999</v>
      </c>
      <c r="S496" s="1" t="str">
        <f t="shared" si="37"/>
        <v>Medium</v>
      </c>
      <c r="T496" s="18">
        <f t="shared" si="38"/>
        <v>0.2808988764044944</v>
      </c>
      <c r="U496" s="1" t="str">
        <f t="shared" si="39"/>
        <v>Profitable ✅</v>
      </c>
    </row>
    <row r="497" spans="1:21" x14ac:dyDescent="0.35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  <c r="Q497" s="18">
        <f t="shared" si="35"/>
        <v>0.1974317817014446</v>
      </c>
      <c r="R497" s="18">
        <f t="shared" si="36"/>
        <v>0.10999999999999999</v>
      </c>
      <c r="S497" s="1" t="str">
        <f t="shared" si="37"/>
        <v>Medium</v>
      </c>
      <c r="T497" s="18">
        <f t="shared" si="38"/>
        <v>0.8025682182985554</v>
      </c>
      <c r="U497" s="1" t="str">
        <f t="shared" si="39"/>
        <v>Profitable ✅</v>
      </c>
    </row>
    <row r="498" spans="1:21" x14ac:dyDescent="0.35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  <c r="Q498" s="18">
        <f t="shared" si="35"/>
        <v>0.7191011235955056</v>
      </c>
      <c r="R498" s="18">
        <f t="shared" si="36"/>
        <v>0.10999999999999999</v>
      </c>
      <c r="S498" s="1" t="str">
        <f t="shared" si="37"/>
        <v>Medium</v>
      </c>
      <c r="T498" s="18">
        <f t="shared" si="38"/>
        <v>0.2808988764044944</v>
      </c>
      <c r="U498" s="1" t="str">
        <f t="shared" si="39"/>
        <v>Profitable ✅</v>
      </c>
    </row>
    <row r="499" spans="1:21" x14ac:dyDescent="0.35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  <c r="Q499" s="18">
        <f t="shared" si="35"/>
        <v>0.25093632958801498</v>
      </c>
      <c r="R499" s="18">
        <f t="shared" si="36"/>
        <v>0.10999999999999999</v>
      </c>
      <c r="S499" s="1" t="str">
        <f t="shared" si="37"/>
        <v>Small</v>
      </c>
      <c r="T499" s="18">
        <f t="shared" si="38"/>
        <v>0.74906367041198507</v>
      </c>
      <c r="U499" s="1" t="str">
        <f t="shared" si="39"/>
        <v>Profitable ✅</v>
      </c>
    </row>
    <row r="500" spans="1:21" x14ac:dyDescent="0.35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  <c r="Q500" s="18">
        <f t="shared" si="35"/>
        <v>0.7191011235955056</v>
      </c>
      <c r="R500" s="18">
        <f t="shared" si="36"/>
        <v>0.10999999999999999</v>
      </c>
      <c r="S500" s="1" t="str">
        <f t="shared" si="37"/>
        <v>Small</v>
      </c>
      <c r="T500" s="18">
        <f t="shared" si="38"/>
        <v>0.2808988764044944</v>
      </c>
      <c r="U500" s="1" t="str">
        <f t="shared" si="39"/>
        <v>Profitable ✅</v>
      </c>
    </row>
    <row r="501" spans="1:21" x14ac:dyDescent="0.35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  <c r="Q501" s="18">
        <f t="shared" si="35"/>
        <v>0.19743178170144463</v>
      </c>
      <c r="R501" s="18">
        <f t="shared" si="36"/>
        <v>0.10999999999999999</v>
      </c>
      <c r="S501" s="1" t="str">
        <f t="shared" si="37"/>
        <v>Small</v>
      </c>
      <c r="T501" s="18">
        <f t="shared" si="38"/>
        <v>0.8025682182985554</v>
      </c>
      <c r="U501" s="1" t="str">
        <f t="shared" si="39"/>
        <v>Profitable ✅</v>
      </c>
    </row>
    <row r="502" spans="1:21" x14ac:dyDescent="0.35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  <c r="Q502" s="18">
        <f t="shared" si="35"/>
        <v>0.7191011235955056</v>
      </c>
      <c r="R502" s="18">
        <f t="shared" si="36"/>
        <v>0.10999999999999999</v>
      </c>
      <c r="S502" s="1" t="str">
        <f t="shared" si="37"/>
        <v>Medium</v>
      </c>
      <c r="T502" s="18">
        <f t="shared" si="38"/>
        <v>0.2808988764044944</v>
      </c>
      <c r="U502" s="1" t="str">
        <f t="shared" si="39"/>
        <v>Profitable ✅</v>
      </c>
    </row>
    <row r="503" spans="1:21" x14ac:dyDescent="0.35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  <c r="Q503" s="18">
        <f t="shared" si="35"/>
        <v>0.25093632958801498</v>
      </c>
      <c r="R503" s="18">
        <f t="shared" si="36"/>
        <v>0.10999999999999999</v>
      </c>
      <c r="S503" s="1" t="str">
        <f t="shared" si="37"/>
        <v>Medium</v>
      </c>
      <c r="T503" s="18">
        <f t="shared" si="38"/>
        <v>0.74906367041198507</v>
      </c>
      <c r="U503" s="1" t="str">
        <f t="shared" si="39"/>
        <v>Profitable ✅</v>
      </c>
    </row>
    <row r="504" spans="1:21" x14ac:dyDescent="0.35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  <c r="Q504" s="18">
        <f t="shared" si="35"/>
        <v>0.7191011235955056</v>
      </c>
      <c r="R504" s="18">
        <f t="shared" si="36"/>
        <v>0.10999999999999999</v>
      </c>
      <c r="S504" s="1" t="str">
        <f t="shared" si="37"/>
        <v>Small</v>
      </c>
      <c r="T504" s="18">
        <f t="shared" si="38"/>
        <v>0.2808988764044944</v>
      </c>
      <c r="U504" s="1" t="str">
        <f t="shared" si="39"/>
        <v>Profitable ✅</v>
      </c>
    </row>
    <row r="505" spans="1:21" x14ac:dyDescent="0.35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  <c r="Q505" s="18">
        <f t="shared" si="35"/>
        <v>0.7191011235955056</v>
      </c>
      <c r="R505" s="18">
        <f t="shared" si="36"/>
        <v>0.11</v>
      </c>
      <c r="S505" s="1" t="str">
        <f t="shared" si="37"/>
        <v>Medium</v>
      </c>
      <c r="T505" s="18">
        <f t="shared" si="38"/>
        <v>0.2808988764044944</v>
      </c>
      <c r="U505" s="1" t="str">
        <f t="shared" si="39"/>
        <v>Profitable ✅</v>
      </c>
    </row>
    <row r="506" spans="1:21" x14ac:dyDescent="0.35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  <c r="Q506" s="18">
        <f t="shared" si="35"/>
        <v>0.1653290529695024</v>
      </c>
      <c r="R506" s="18">
        <f t="shared" si="36"/>
        <v>0.11</v>
      </c>
      <c r="S506" s="1" t="str">
        <f t="shared" si="37"/>
        <v>Enterprise</v>
      </c>
      <c r="T506" s="18">
        <f t="shared" si="38"/>
        <v>0.8346709470304976</v>
      </c>
      <c r="U506" s="1" t="str">
        <f t="shared" si="39"/>
        <v>Profitable ✅</v>
      </c>
    </row>
    <row r="507" spans="1:21" x14ac:dyDescent="0.35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  <c r="Q507" s="18">
        <f t="shared" si="35"/>
        <v>6.3670411985018729E-2</v>
      </c>
      <c r="R507" s="18">
        <f t="shared" si="36"/>
        <v>0.11</v>
      </c>
      <c r="S507" s="1" t="str">
        <f t="shared" si="37"/>
        <v>Enterprise</v>
      </c>
      <c r="T507" s="18">
        <f t="shared" si="38"/>
        <v>0.93632958801498123</v>
      </c>
      <c r="U507" s="1" t="str">
        <f t="shared" si="39"/>
        <v>Profitable ✅</v>
      </c>
    </row>
    <row r="508" spans="1:21" x14ac:dyDescent="0.35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  <c r="Q508" s="18">
        <f t="shared" si="35"/>
        <v>-7.8651685393258425E-2</v>
      </c>
      <c r="R508" s="18">
        <f t="shared" si="36"/>
        <v>0.11</v>
      </c>
      <c r="S508" s="1" t="str">
        <f t="shared" si="37"/>
        <v>Enterprise</v>
      </c>
      <c r="T508" s="18">
        <f t="shared" si="38"/>
        <v>1.0786516853932584</v>
      </c>
      <c r="U508" s="1" t="str">
        <f t="shared" si="39"/>
        <v>Loss ❌</v>
      </c>
    </row>
    <row r="509" spans="1:21" x14ac:dyDescent="0.35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  <c r="Q509" s="18">
        <f t="shared" si="35"/>
        <v>0.25093632958801498</v>
      </c>
      <c r="R509" s="18">
        <f t="shared" si="36"/>
        <v>0.11</v>
      </c>
      <c r="S509" s="1" t="str">
        <f t="shared" si="37"/>
        <v>Medium</v>
      </c>
      <c r="T509" s="18">
        <f t="shared" si="38"/>
        <v>0.74906367041198507</v>
      </c>
      <c r="U509" s="1" t="str">
        <f t="shared" si="39"/>
        <v>Profitable ✅</v>
      </c>
    </row>
    <row r="510" spans="1:21" x14ac:dyDescent="0.35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  <c r="Q510" s="18">
        <f t="shared" si="35"/>
        <v>0.19743178170144468</v>
      </c>
      <c r="R510" s="18">
        <f t="shared" si="36"/>
        <v>0.11</v>
      </c>
      <c r="S510" s="1" t="str">
        <f t="shared" si="37"/>
        <v>Medium</v>
      </c>
      <c r="T510" s="18">
        <f t="shared" si="38"/>
        <v>0.80256821829855529</v>
      </c>
      <c r="U510" s="1" t="str">
        <f t="shared" si="39"/>
        <v>Profitable ✅</v>
      </c>
    </row>
    <row r="511" spans="1:21" x14ac:dyDescent="0.35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  <c r="Q511" s="18">
        <f t="shared" si="35"/>
        <v>0.1653290529695024</v>
      </c>
      <c r="R511" s="18">
        <f t="shared" si="36"/>
        <v>0.11</v>
      </c>
      <c r="S511" s="1" t="str">
        <f t="shared" si="37"/>
        <v>Enterprise</v>
      </c>
      <c r="T511" s="18">
        <f t="shared" si="38"/>
        <v>0.8346709470304976</v>
      </c>
      <c r="U511" s="1" t="str">
        <f t="shared" si="39"/>
        <v>Profitable ✅</v>
      </c>
    </row>
    <row r="512" spans="1:21" x14ac:dyDescent="0.35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  <c r="Q512" s="18">
        <f t="shared" si="35"/>
        <v>0.4382022471910112</v>
      </c>
      <c r="R512" s="18">
        <f t="shared" si="36"/>
        <v>0.11</v>
      </c>
      <c r="S512" s="1" t="str">
        <f t="shared" si="37"/>
        <v>Large</v>
      </c>
      <c r="T512" s="18">
        <f t="shared" si="38"/>
        <v>0.5617977528089888</v>
      </c>
      <c r="U512" s="1" t="str">
        <f t="shared" si="39"/>
        <v>Profitable ✅</v>
      </c>
    </row>
    <row r="513" spans="1:21" x14ac:dyDescent="0.35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  <c r="Q513" s="18">
        <f t="shared" si="35"/>
        <v>0.25093632958801498</v>
      </c>
      <c r="R513" s="18">
        <f t="shared" si="36"/>
        <v>0.11</v>
      </c>
      <c r="S513" s="1" t="str">
        <f t="shared" si="37"/>
        <v>Medium</v>
      </c>
      <c r="T513" s="18">
        <f t="shared" si="38"/>
        <v>0.74906367041198496</v>
      </c>
      <c r="U513" s="1" t="str">
        <f t="shared" si="39"/>
        <v>Profitable ✅</v>
      </c>
    </row>
    <row r="514" spans="1:21" x14ac:dyDescent="0.35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  <c r="Q514" s="18">
        <f t="shared" ref="Q514:Q577" si="40">IF(J514=0,0,L514/J514)</f>
        <v>6.3670411985018729E-2</v>
      </c>
      <c r="R514" s="18">
        <f t="shared" ref="R514:R577" si="41">IF(H514=0,0, I514/H514)</f>
        <v>0.11</v>
      </c>
      <c r="S514" s="1" t="str">
        <f t="shared" ref="S514:S577" si="42">IF(J514&lt;10000,"Small",IF(J514&lt;50000,"Medium",IF(J514&lt;200000,"Large","Enterprise")))</f>
        <v>Enterprise</v>
      </c>
      <c r="T514" s="18">
        <f t="shared" ref="T514:T577" si="43">IF(J514=0,0,K514/J514)</f>
        <v>0.93632958801498123</v>
      </c>
      <c r="U514" s="1" t="str">
        <f t="shared" ref="U514:U577" si="44">IFERROR(IF(L514&gt;0,"Profitable ✅",IF(L514=0,"Breakeven ⚖️","Loss ❌")),"Check Data 📊")</f>
        <v>Profitable ✅</v>
      </c>
    </row>
    <row r="515" spans="1:21" x14ac:dyDescent="0.35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  <c r="Q515" s="18">
        <f t="shared" si="40"/>
        <v>0.4382022471910112</v>
      </c>
      <c r="R515" s="18">
        <f t="shared" si="41"/>
        <v>0.11</v>
      </c>
      <c r="S515" s="1" t="str">
        <f t="shared" si="42"/>
        <v>Medium</v>
      </c>
      <c r="T515" s="18">
        <f t="shared" si="43"/>
        <v>0.5617977528089888</v>
      </c>
      <c r="U515" s="1" t="str">
        <f t="shared" si="44"/>
        <v>Profitable ✅</v>
      </c>
    </row>
    <row r="516" spans="1:21" x14ac:dyDescent="0.35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  <c r="Q516" s="18">
        <f t="shared" si="40"/>
        <v>0.1653290529695024</v>
      </c>
      <c r="R516" s="18">
        <f t="shared" si="41"/>
        <v>0.11</v>
      </c>
      <c r="S516" s="1" t="str">
        <f t="shared" si="42"/>
        <v>Enterprise</v>
      </c>
      <c r="T516" s="18">
        <f t="shared" si="43"/>
        <v>0.8346709470304976</v>
      </c>
      <c r="U516" s="1" t="str">
        <f t="shared" si="44"/>
        <v>Profitable ✅</v>
      </c>
    </row>
    <row r="517" spans="1:21" x14ac:dyDescent="0.35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  <c r="Q517" s="18">
        <f t="shared" si="40"/>
        <v>0.7191011235955056</v>
      </c>
      <c r="R517" s="18">
        <f t="shared" si="41"/>
        <v>0.11</v>
      </c>
      <c r="S517" s="1" t="str">
        <f t="shared" si="42"/>
        <v>Medium</v>
      </c>
      <c r="T517" s="18">
        <f t="shared" si="43"/>
        <v>0.2808988764044944</v>
      </c>
      <c r="U517" s="1" t="str">
        <f t="shared" si="44"/>
        <v>Profitable ✅</v>
      </c>
    </row>
    <row r="518" spans="1:21" x14ac:dyDescent="0.35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  <c r="Q518" s="18">
        <f t="shared" si="40"/>
        <v>0.71910112359550571</v>
      </c>
      <c r="R518" s="18">
        <f t="shared" si="41"/>
        <v>0.11</v>
      </c>
      <c r="S518" s="1" t="str">
        <f t="shared" si="42"/>
        <v>Medium</v>
      </c>
      <c r="T518" s="18">
        <f t="shared" si="43"/>
        <v>0.28089887640449435</v>
      </c>
      <c r="U518" s="1" t="str">
        <f t="shared" si="44"/>
        <v>Profitable ✅</v>
      </c>
    </row>
    <row r="519" spans="1:21" x14ac:dyDescent="0.35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  <c r="Q519" s="18">
        <f t="shared" si="40"/>
        <v>0.4382022471910112</v>
      </c>
      <c r="R519" s="18">
        <f t="shared" si="41"/>
        <v>0.11</v>
      </c>
      <c r="S519" s="1" t="str">
        <f t="shared" si="42"/>
        <v>Medium</v>
      </c>
      <c r="T519" s="18">
        <f t="shared" si="43"/>
        <v>0.5617977528089888</v>
      </c>
      <c r="U519" s="1" t="str">
        <f t="shared" si="44"/>
        <v>Profitable ✅</v>
      </c>
    </row>
    <row r="520" spans="1:21" x14ac:dyDescent="0.35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  <c r="Q520" s="18">
        <f t="shared" si="40"/>
        <v>0.25093632958801504</v>
      </c>
      <c r="R520" s="18">
        <f t="shared" si="41"/>
        <v>0.11</v>
      </c>
      <c r="S520" s="1" t="str">
        <f t="shared" si="42"/>
        <v>Medium</v>
      </c>
      <c r="T520" s="18">
        <f t="shared" si="43"/>
        <v>0.74906367041198496</v>
      </c>
      <c r="U520" s="1" t="str">
        <f t="shared" si="44"/>
        <v>Profitable ✅</v>
      </c>
    </row>
    <row r="521" spans="1:21" x14ac:dyDescent="0.35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  <c r="Q521" s="18">
        <f t="shared" si="40"/>
        <v>-7.8651685393258425E-2</v>
      </c>
      <c r="R521" s="18">
        <f t="shared" si="41"/>
        <v>0.11</v>
      </c>
      <c r="S521" s="1" t="str">
        <f t="shared" si="42"/>
        <v>Enterprise</v>
      </c>
      <c r="T521" s="18">
        <f t="shared" si="43"/>
        <v>1.0786516853932584</v>
      </c>
      <c r="U521" s="1" t="str">
        <f t="shared" si="44"/>
        <v>Loss ❌</v>
      </c>
    </row>
    <row r="522" spans="1:21" x14ac:dyDescent="0.35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  <c r="Q522" s="18">
        <f t="shared" si="40"/>
        <v>0.4382022471910112</v>
      </c>
      <c r="R522" s="18">
        <f t="shared" si="41"/>
        <v>0.11</v>
      </c>
      <c r="S522" s="1" t="str">
        <f t="shared" si="42"/>
        <v>Large</v>
      </c>
      <c r="T522" s="18">
        <f t="shared" si="43"/>
        <v>0.5617977528089888</v>
      </c>
      <c r="U522" s="1" t="str">
        <f t="shared" si="44"/>
        <v>Profitable ✅</v>
      </c>
    </row>
    <row r="523" spans="1:21" x14ac:dyDescent="0.35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  <c r="Q523" s="18">
        <f t="shared" si="40"/>
        <v>6.3670411985018729E-2</v>
      </c>
      <c r="R523" s="18">
        <f t="shared" si="41"/>
        <v>0.11</v>
      </c>
      <c r="S523" s="1" t="str">
        <f t="shared" si="42"/>
        <v>Enterprise</v>
      </c>
      <c r="T523" s="18">
        <f t="shared" si="43"/>
        <v>0.93632958801498123</v>
      </c>
      <c r="U523" s="1" t="str">
        <f t="shared" si="44"/>
        <v>Profitable ✅</v>
      </c>
    </row>
    <row r="524" spans="1:21" x14ac:dyDescent="0.35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  <c r="Q524" s="18">
        <f t="shared" si="40"/>
        <v>0.43820224719101125</v>
      </c>
      <c r="R524" s="18">
        <f t="shared" si="41"/>
        <v>0.11</v>
      </c>
      <c r="S524" s="1" t="str">
        <f t="shared" si="42"/>
        <v>Medium</v>
      </c>
      <c r="T524" s="18">
        <f t="shared" si="43"/>
        <v>0.5617977528089888</v>
      </c>
      <c r="U524" s="1" t="str">
        <f t="shared" si="44"/>
        <v>Profitable ✅</v>
      </c>
    </row>
    <row r="525" spans="1:21" x14ac:dyDescent="0.35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  <c r="Q525" s="18">
        <f t="shared" si="40"/>
        <v>0.25093632958801498</v>
      </c>
      <c r="R525" s="18">
        <f t="shared" si="41"/>
        <v>0.11</v>
      </c>
      <c r="S525" s="1" t="str">
        <f t="shared" si="42"/>
        <v>Small</v>
      </c>
      <c r="T525" s="18">
        <f t="shared" si="43"/>
        <v>0.74906367041198507</v>
      </c>
      <c r="U525" s="1" t="str">
        <f t="shared" si="44"/>
        <v>Profitable ✅</v>
      </c>
    </row>
    <row r="526" spans="1:21" x14ac:dyDescent="0.35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  <c r="Q526" s="18">
        <f t="shared" si="40"/>
        <v>0.1653290529695024</v>
      </c>
      <c r="R526" s="18">
        <f t="shared" si="41"/>
        <v>0.11</v>
      </c>
      <c r="S526" s="1" t="str">
        <f t="shared" si="42"/>
        <v>Large</v>
      </c>
      <c r="T526" s="18">
        <f t="shared" si="43"/>
        <v>0.8346709470304976</v>
      </c>
      <c r="U526" s="1" t="str">
        <f t="shared" si="44"/>
        <v>Profitable ✅</v>
      </c>
    </row>
    <row r="527" spans="1:21" x14ac:dyDescent="0.35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  <c r="Q527" s="18">
        <f t="shared" si="40"/>
        <v>0.19743178170144463</v>
      </c>
      <c r="R527" s="18">
        <f t="shared" si="41"/>
        <v>0.11</v>
      </c>
      <c r="S527" s="1" t="str">
        <f t="shared" si="42"/>
        <v>Medium</v>
      </c>
      <c r="T527" s="18">
        <f t="shared" si="43"/>
        <v>0.8025682182985554</v>
      </c>
      <c r="U527" s="1" t="str">
        <f t="shared" si="44"/>
        <v>Profitable ✅</v>
      </c>
    </row>
    <row r="528" spans="1:21" x14ac:dyDescent="0.35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  <c r="Q528" s="18">
        <f t="shared" si="40"/>
        <v>0.7191011235955056</v>
      </c>
      <c r="R528" s="18">
        <f t="shared" si="41"/>
        <v>0.11</v>
      </c>
      <c r="S528" s="1" t="str">
        <f t="shared" si="42"/>
        <v>Medium</v>
      </c>
      <c r="T528" s="18">
        <f t="shared" si="43"/>
        <v>0.2808988764044944</v>
      </c>
      <c r="U528" s="1" t="str">
        <f t="shared" si="44"/>
        <v>Profitable ✅</v>
      </c>
    </row>
    <row r="529" spans="1:21" x14ac:dyDescent="0.35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  <c r="Q529" s="18">
        <f t="shared" si="40"/>
        <v>-7.8651685393258425E-2</v>
      </c>
      <c r="R529" s="18">
        <f t="shared" si="41"/>
        <v>0.11</v>
      </c>
      <c r="S529" s="1" t="str">
        <f t="shared" si="42"/>
        <v>Large</v>
      </c>
      <c r="T529" s="18">
        <f t="shared" si="43"/>
        <v>1.0786516853932584</v>
      </c>
      <c r="U529" s="1" t="str">
        <f t="shared" si="44"/>
        <v>Loss ❌</v>
      </c>
    </row>
    <row r="530" spans="1:21" x14ac:dyDescent="0.35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  <c r="Q530" s="18">
        <f t="shared" si="40"/>
        <v>0.43820224719101125</v>
      </c>
      <c r="R530" s="18">
        <f t="shared" si="41"/>
        <v>0.11</v>
      </c>
      <c r="S530" s="1" t="str">
        <f t="shared" si="42"/>
        <v>Large</v>
      </c>
      <c r="T530" s="18">
        <f t="shared" si="43"/>
        <v>0.5617977528089888</v>
      </c>
      <c r="U530" s="1" t="str">
        <f t="shared" si="44"/>
        <v>Profitable ✅</v>
      </c>
    </row>
    <row r="531" spans="1:21" x14ac:dyDescent="0.35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  <c r="Q531" s="18">
        <f t="shared" si="40"/>
        <v>-7.8651685393258425E-2</v>
      </c>
      <c r="R531" s="18">
        <f t="shared" si="41"/>
        <v>0.11</v>
      </c>
      <c r="S531" s="1" t="str">
        <f t="shared" si="42"/>
        <v>Enterprise</v>
      </c>
      <c r="T531" s="18">
        <f t="shared" si="43"/>
        <v>1.0786516853932584</v>
      </c>
      <c r="U531" s="1" t="str">
        <f t="shared" si="44"/>
        <v>Loss ❌</v>
      </c>
    </row>
    <row r="532" spans="1:21" x14ac:dyDescent="0.35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  <c r="Q532" s="18">
        <f t="shared" si="40"/>
        <v>0.4382022471910112</v>
      </c>
      <c r="R532" s="18">
        <f t="shared" si="41"/>
        <v>0.11</v>
      </c>
      <c r="S532" s="1" t="str">
        <f t="shared" si="42"/>
        <v>Medium</v>
      </c>
      <c r="T532" s="18">
        <f t="shared" si="43"/>
        <v>0.5617977528089888</v>
      </c>
      <c r="U532" s="1" t="str">
        <f t="shared" si="44"/>
        <v>Profitable ✅</v>
      </c>
    </row>
    <row r="533" spans="1:21" x14ac:dyDescent="0.35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  <c r="Q533" s="18">
        <f t="shared" si="40"/>
        <v>-7.8651685393258425E-2</v>
      </c>
      <c r="R533" s="18">
        <f t="shared" si="41"/>
        <v>0.11</v>
      </c>
      <c r="S533" s="1" t="str">
        <f t="shared" si="42"/>
        <v>Large</v>
      </c>
      <c r="T533" s="18">
        <f t="shared" si="43"/>
        <v>1.0786516853932584</v>
      </c>
      <c r="U533" s="1" t="str">
        <f t="shared" si="44"/>
        <v>Loss ❌</v>
      </c>
    </row>
    <row r="534" spans="1:21" x14ac:dyDescent="0.35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  <c r="Q534" s="18">
        <f t="shared" si="40"/>
        <v>-7.8651685393258425E-2</v>
      </c>
      <c r="R534" s="18">
        <f t="shared" si="41"/>
        <v>0.11</v>
      </c>
      <c r="S534" s="1" t="str">
        <f t="shared" si="42"/>
        <v>Large</v>
      </c>
      <c r="T534" s="18">
        <f t="shared" si="43"/>
        <v>1.0786516853932584</v>
      </c>
      <c r="U534" s="1" t="str">
        <f t="shared" si="44"/>
        <v>Loss ❌</v>
      </c>
    </row>
    <row r="535" spans="1:21" x14ac:dyDescent="0.35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  <c r="Q535" s="18">
        <f t="shared" si="40"/>
        <v>0.1653290529695024</v>
      </c>
      <c r="R535" s="18">
        <f t="shared" si="41"/>
        <v>0.11</v>
      </c>
      <c r="S535" s="1" t="str">
        <f t="shared" si="42"/>
        <v>Large</v>
      </c>
      <c r="T535" s="18">
        <f t="shared" si="43"/>
        <v>0.8346709470304976</v>
      </c>
      <c r="U535" s="1" t="str">
        <f t="shared" si="44"/>
        <v>Profitable ✅</v>
      </c>
    </row>
    <row r="536" spans="1:21" x14ac:dyDescent="0.35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  <c r="Q536" s="18">
        <f t="shared" si="40"/>
        <v>0.25093632958801498</v>
      </c>
      <c r="R536" s="18">
        <f t="shared" si="41"/>
        <v>0.11</v>
      </c>
      <c r="S536" s="1" t="str">
        <f t="shared" si="42"/>
        <v>Medium</v>
      </c>
      <c r="T536" s="18">
        <f t="shared" si="43"/>
        <v>0.74906367041198496</v>
      </c>
      <c r="U536" s="1" t="str">
        <f t="shared" si="44"/>
        <v>Profitable ✅</v>
      </c>
    </row>
    <row r="537" spans="1:21" x14ac:dyDescent="0.35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  <c r="Q537" s="18">
        <f t="shared" si="40"/>
        <v>0.19743178170144465</v>
      </c>
      <c r="R537" s="18">
        <f t="shared" si="41"/>
        <v>0.11000000000000001</v>
      </c>
      <c r="S537" s="1" t="str">
        <f t="shared" si="42"/>
        <v>Small</v>
      </c>
      <c r="T537" s="18">
        <f t="shared" si="43"/>
        <v>0.80256821829855529</v>
      </c>
      <c r="U537" s="1" t="str">
        <f t="shared" si="44"/>
        <v>Profitable ✅</v>
      </c>
    </row>
    <row r="538" spans="1:21" x14ac:dyDescent="0.35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  <c r="Q538" s="18">
        <f t="shared" si="40"/>
        <v>0.15584415584415584</v>
      </c>
      <c r="R538" s="18">
        <f t="shared" si="41"/>
        <v>0.12</v>
      </c>
      <c r="S538" s="1" t="str">
        <f t="shared" si="42"/>
        <v>Enterprise</v>
      </c>
      <c r="T538" s="18">
        <f t="shared" si="43"/>
        <v>0.8441558441558441</v>
      </c>
      <c r="U538" s="1" t="str">
        <f t="shared" si="44"/>
        <v>Profitable ✅</v>
      </c>
    </row>
    <row r="539" spans="1:21" x14ac:dyDescent="0.35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  <c r="Q539" s="18">
        <f t="shared" si="40"/>
        <v>-9.0909090909090912E-2</v>
      </c>
      <c r="R539" s="18">
        <f t="shared" si="41"/>
        <v>0.12</v>
      </c>
      <c r="S539" s="1" t="str">
        <f t="shared" si="42"/>
        <v>Enterprise</v>
      </c>
      <c r="T539" s="18">
        <f t="shared" si="43"/>
        <v>1.0909090909090908</v>
      </c>
      <c r="U539" s="1" t="str">
        <f t="shared" si="44"/>
        <v>Loss ❌</v>
      </c>
    </row>
    <row r="540" spans="1:21" x14ac:dyDescent="0.35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  <c r="Q540" s="18">
        <f t="shared" si="40"/>
        <v>-9.0909090909090912E-2</v>
      </c>
      <c r="R540" s="18">
        <f t="shared" si="41"/>
        <v>0.12</v>
      </c>
      <c r="S540" s="1" t="str">
        <f t="shared" si="42"/>
        <v>Enterprise</v>
      </c>
      <c r="T540" s="18">
        <f t="shared" si="43"/>
        <v>1.0909090909090908</v>
      </c>
      <c r="U540" s="1" t="str">
        <f t="shared" si="44"/>
        <v>Loss ❌</v>
      </c>
    </row>
    <row r="541" spans="1:21" x14ac:dyDescent="0.35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  <c r="Q541" s="18">
        <f t="shared" si="40"/>
        <v>0.24242424242424249</v>
      </c>
      <c r="R541" s="18">
        <f t="shared" si="41"/>
        <v>0.12</v>
      </c>
      <c r="S541" s="1" t="str">
        <f t="shared" si="42"/>
        <v>Medium</v>
      </c>
      <c r="T541" s="18">
        <f t="shared" si="43"/>
        <v>0.75757575757575757</v>
      </c>
      <c r="U541" s="1" t="str">
        <f t="shared" si="44"/>
        <v>Profitable ✅</v>
      </c>
    </row>
    <row r="542" spans="1:21" x14ac:dyDescent="0.35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  <c r="Q542" s="18">
        <f t="shared" si="40"/>
        <v>0.2424242424242424</v>
      </c>
      <c r="R542" s="18">
        <f t="shared" si="41"/>
        <v>0.12</v>
      </c>
      <c r="S542" s="1" t="str">
        <f t="shared" si="42"/>
        <v>Small</v>
      </c>
      <c r="T542" s="18">
        <f t="shared" si="43"/>
        <v>0.75757575757575757</v>
      </c>
      <c r="U542" s="1" t="str">
        <f t="shared" si="44"/>
        <v>Profitable ✅</v>
      </c>
    </row>
    <row r="543" spans="1:21" x14ac:dyDescent="0.35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  <c r="Q543" s="18">
        <f t="shared" si="40"/>
        <v>5.3030303030303032E-2</v>
      </c>
      <c r="R543" s="18">
        <f t="shared" si="41"/>
        <v>0.12</v>
      </c>
      <c r="S543" s="1" t="str">
        <f t="shared" si="42"/>
        <v>Enterprise</v>
      </c>
      <c r="T543" s="18">
        <f t="shared" si="43"/>
        <v>0.94696969696969702</v>
      </c>
      <c r="U543" s="1" t="str">
        <f t="shared" si="44"/>
        <v>Profitable ✅</v>
      </c>
    </row>
    <row r="544" spans="1:21" x14ac:dyDescent="0.35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  <c r="Q544" s="18">
        <f t="shared" si="40"/>
        <v>0.18831168831168835</v>
      </c>
      <c r="R544" s="18">
        <f t="shared" si="41"/>
        <v>0.12</v>
      </c>
      <c r="S544" s="1" t="str">
        <f t="shared" si="42"/>
        <v>Medium</v>
      </c>
      <c r="T544" s="18">
        <f t="shared" si="43"/>
        <v>0.81168831168831168</v>
      </c>
      <c r="U544" s="1" t="str">
        <f t="shared" si="44"/>
        <v>Profitable ✅</v>
      </c>
    </row>
    <row r="545" spans="1:21" x14ac:dyDescent="0.35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  <c r="Q545" s="18">
        <f t="shared" si="40"/>
        <v>0.18831168831168824</v>
      </c>
      <c r="R545" s="18">
        <f t="shared" si="41"/>
        <v>0.12</v>
      </c>
      <c r="S545" s="1" t="str">
        <f t="shared" si="42"/>
        <v>Medium</v>
      </c>
      <c r="T545" s="18">
        <f t="shared" si="43"/>
        <v>0.81168831168831179</v>
      </c>
      <c r="U545" s="1" t="str">
        <f t="shared" si="44"/>
        <v>Profitable ✅</v>
      </c>
    </row>
    <row r="546" spans="1:21" x14ac:dyDescent="0.35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  <c r="Q546" s="18">
        <f t="shared" si="40"/>
        <v>0.43181818181818182</v>
      </c>
      <c r="R546" s="18">
        <f t="shared" si="41"/>
        <v>0.12</v>
      </c>
      <c r="S546" s="1" t="str">
        <f t="shared" si="42"/>
        <v>Medium</v>
      </c>
      <c r="T546" s="18">
        <f t="shared" si="43"/>
        <v>0.56818181818181823</v>
      </c>
      <c r="U546" s="1" t="str">
        <f t="shared" si="44"/>
        <v>Profitable ✅</v>
      </c>
    </row>
    <row r="547" spans="1:21" x14ac:dyDescent="0.35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  <c r="Q547" s="18">
        <f t="shared" si="40"/>
        <v>5.3030303030303032E-2</v>
      </c>
      <c r="R547" s="18">
        <f t="shared" si="41"/>
        <v>0.12</v>
      </c>
      <c r="S547" s="1" t="str">
        <f t="shared" si="42"/>
        <v>Enterprise</v>
      </c>
      <c r="T547" s="18">
        <f t="shared" si="43"/>
        <v>0.94696969696969702</v>
      </c>
      <c r="U547" s="1" t="str">
        <f t="shared" si="44"/>
        <v>Profitable ✅</v>
      </c>
    </row>
    <row r="548" spans="1:21" x14ac:dyDescent="0.35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  <c r="Q548" s="18">
        <f t="shared" si="40"/>
        <v>5.3030303030303032E-2</v>
      </c>
      <c r="R548" s="18">
        <f t="shared" si="41"/>
        <v>0.12</v>
      </c>
      <c r="S548" s="1" t="str">
        <f t="shared" si="42"/>
        <v>Enterprise</v>
      </c>
      <c r="T548" s="18">
        <f t="shared" si="43"/>
        <v>0.94696969696969702</v>
      </c>
      <c r="U548" s="1" t="str">
        <f t="shared" si="44"/>
        <v>Profitable ✅</v>
      </c>
    </row>
    <row r="549" spans="1:21" x14ac:dyDescent="0.35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  <c r="Q549" s="18">
        <f t="shared" si="40"/>
        <v>0.15584415584415584</v>
      </c>
      <c r="R549" s="18">
        <f t="shared" si="41"/>
        <v>0.12</v>
      </c>
      <c r="S549" s="1" t="str">
        <f t="shared" si="42"/>
        <v>Enterprise</v>
      </c>
      <c r="T549" s="18">
        <f t="shared" si="43"/>
        <v>0.8441558441558441</v>
      </c>
      <c r="U549" s="1" t="str">
        <f t="shared" si="44"/>
        <v>Profitable ✅</v>
      </c>
    </row>
    <row r="550" spans="1:21" x14ac:dyDescent="0.35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  <c r="Q550" s="18">
        <f t="shared" si="40"/>
        <v>-9.0909090909090912E-2</v>
      </c>
      <c r="R550" s="18">
        <f t="shared" si="41"/>
        <v>0.12</v>
      </c>
      <c r="S550" s="1" t="str">
        <f t="shared" si="42"/>
        <v>Enterprise</v>
      </c>
      <c r="T550" s="18">
        <f t="shared" si="43"/>
        <v>1.0909090909090908</v>
      </c>
      <c r="U550" s="1" t="str">
        <f t="shared" si="44"/>
        <v>Loss ❌</v>
      </c>
    </row>
    <row r="551" spans="1:21" x14ac:dyDescent="0.35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  <c r="Q551" s="18">
        <f t="shared" si="40"/>
        <v>0.43181818181818182</v>
      </c>
      <c r="R551" s="18">
        <f t="shared" si="41"/>
        <v>0.12</v>
      </c>
      <c r="S551" s="1" t="str">
        <f t="shared" si="42"/>
        <v>Medium</v>
      </c>
      <c r="T551" s="18">
        <f t="shared" si="43"/>
        <v>0.56818181818181823</v>
      </c>
      <c r="U551" s="1" t="str">
        <f t="shared" si="44"/>
        <v>Profitable ✅</v>
      </c>
    </row>
    <row r="552" spans="1:21" x14ac:dyDescent="0.35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  <c r="Q552" s="18">
        <f t="shared" si="40"/>
        <v>0.43181818181818182</v>
      </c>
      <c r="R552" s="18">
        <f t="shared" si="41"/>
        <v>0.12</v>
      </c>
      <c r="S552" s="1" t="str">
        <f t="shared" si="42"/>
        <v>Medium</v>
      </c>
      <c r="T552" s="18">
        <f t="shared" si="43"/>
        <v>0.56818181818181823</v>
      </c>
      <c r="U552" s="1" t="str">
        <f t="shared" si="44"/>
        <v>Profitable ✅</v>
      </c>
    </row>
    <row r="553" spans="1:21" x14ac:dyDescent="0.35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  <c r="Q553" s="18">
        <f t="shared" si="40"/>
        <v>0.15584415584415584</v>
      </c>
      <c r="R553" s="18">
        <f t="shared" si="41"/>
        <v>0.12</v>
      </c>
      <c r="S553" s="1" t="str">
        <f t="shared" si="42"/>
        <v>Enterprise</v>
      </c>
      <c r="T553" s="18">
        <f t="shared" si="43"/>
        <v>0.8441558441558441</v>
      </c>
      <c r="U553" s="1" t="str">
        <f t="shared" si="44"/>
        <v>Profitable ✅</v>
      </c>
    </row>
    <row r="554" spans="1:21" x14ac:dyDescent="0.35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  <c r="Q554" s="18">
        <f t="shared" si="40"/>
        <v>5.3030303030303032E-2</v>
      </c>
      <c r="R554" s="18">
        <f t="shared" si="41"/>
        <v>0.12</v>
      </c>
      <c r="S554" s="1" t="str">
        <f t="shared" si="42"/>
        <v>Enterprise</v>
      </c>
      <c r="T554" s="18">
        <f t="shared" si="43"/>
        <v>0.94696969696969702</v>
      </c>
      <c r="U554" s="1" t="str">
        <f t="shared" si="44"/>
        <v>Profitable ✅</v>
      </c>
    </row>
    <row r="555" spans="1:21" x14ac:dyDescent="0.35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  <c r="Q555" s="18">
        <f t="shared" si="40"/>
        <v>5.3030303030303032E-2</v>
      </c>
      <c r="R555" s="18">
        <f t="shared" si="41"/>
        <v>0.12</v>
      </c>
      <c r="S555" s="1" t="str">
        <f t="shared" si="42"/>
        <v>Enterprise</v>
      </c>
      <c r="T555" s="18">
        <f t="shared" si="43"/>
        <v>0.94696969696969702</v>
      </c>
      <c r="U555" s="1" t="str">
        <f t="shared" si="44"/>
        <v>Profitable ✅</v>
      </c>
    </row>
    <row r="556" spans="1:21" x14ac:dyDescent="0.35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  <c r="Q556" s="18">
        <f t="shared" si="40"/>
        <v>0.15584415584415584</v>
      </c>
      <c r="R556" s="18">
        <f t="shared" si="41"/>
        <v>0.12</v>
      </c>
      <c r="S556" s="1" t="str">
        <f t="shared" si="42"/>
        <v>Enterprise</v>
      </c>
      <c r="T556" s="18">
        <f t="shared" si="43"/>
        <v>0.8441558441558441</v>
      </c>
      <c r="U556" s="1" t="str">
        <f t="shared" si="44"/>
        <v>Profitable ✅</v>
      </c>
    </row>
    <row r="557" spans="1:21" x14ac:dyDescent="0.35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  <c r="Q557" s="18">
        <f t="shared" si="40"/>
        <v>0.24242424242424243</v>
      </c>
      <c r="R557" s="18">
        <f t="shared" si="41"/>
        <v>0.12</v>
      </c>
      <c r="S557" s="1" t="str">
        <f t="shared" si="42"/>
        <v>Small</v>
      </c>
      <c r="T557" s="18">
        <f t="shared" si="43"/>
        <v>0.75757575757575757</v>
      </c>
      <c r="U557" s="1" t="str">
        <f t="shared" si="44"/>
        <v>Profitable ✅</v>
      </c>
    </row>
    <row r="558" spans="1:21" x14ac:dyDescent="0.35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  <c r="Q558" s="18">
        <f t="shared" si="40"/>
        <v>0.43181818181818182</v>
      </c>
      <c r="R558" s="18">
        <f t="shared" si="41"/>
        <v>0.12</v>
      </c>
      <c r="S558" s="1" t="str">
        <f t="shared" si="42"/>
        <v>Medium</v>
      </c>
      <c r="T558" s="18">
        <f t="shared" si="43"/>
        <v>0.56818181818181823</v>
      </c>
      <c r="U558" s="1" t="str">
        <f t="shared" si="44"/>
        <v>Profitable ✅</v>
      </c>
    </row>
    <row r="559" spans="1:21" x14ac:dyDescent="0.35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  <c r="Q559" s="18">
        <f t="shared" si="40"/>
        <v>0.15584415584415584</v>
      </c>
      <c r="R559" s="18">
        <f t="shared" si="41"/>
        <v>0.12</v>
      </c>
      <c r="S559" s="1" t="str">
        <f t="shared" si="42"/>
        <v>Enterprise</v>
      </c>
      <c r="T559" s="18">
        <f t="shared" si="43"/>
        <v>0.8441558441558441</v>
      </c>
      <c r="U559" s="1" t="str">
        <f t="shared" si="44"/>
        <v>Profitable ✅</v>
      </c>
    </row>
    <row r="560" spans="1:21" x14ac:dyDescent="0.35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  <c r="Q560" s="18">
        <f t="shared" si="40"/>
        <v>0.15584415584415584</v>
      </c>
      <c r="R560" s="18">
        <f t="shared" si="41"/>
        <v>0.12</v>
      </c>
      <c r="S560" s="1" t="str">
        <f t="shared" si="42"/>
        <v>Enterprise</v>
      </c>
      <c r="T560" s="18">
        <f t="shared" si="43"/>
        <v>0.8441558441558441</v>
      </c>
      <c r="U560" s="1" t="str">
        <f t="shared" si="44"/>
        <v>Profitable ✅</v>
      </c>
    </row>
    <row r="561" spans="1:21" x14ac:dyDescent="0.35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  <c r="Q561" s="18">
        <f t="shared" si="40"/>
        <v>0.43181818181818182</v>
      </c>
      <c r="R561" s="18">
        <f t="shared" si="41"/>
        <v>0.12</v>
      </c>
      <c r="S561" s="1" t="str">
        <f t="shared" si="42"/>
        <v>Medium</v>
      </c>
      <c r="T561" s="18">
        <f t="shared" si="43"/>
        <v>0.56818181818181823</v>
      </c>
      <c r="U561" s="1" t="str">
        <f t="shared" si="44"/>
        <v>Profitable ✅</v>
      </c>
    </row>
    <row r="562" spans="1:21" x14ac:dyDescent="0.35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  <c r="Q562" s="18">
        <f t="shared" si="40"/>
        <v>0.71590909090909094</v>
      </c>
      <c r="R562" s="18">
        <f t="shared" si="41"/>
        <v>0.12</v>
      </c>
      <c r="S562" s="1" t="str">
        <f t="shared" si="42"/>
        <v>Medium</v>
      </c>
      <c r="T562" s="18">
        <f t="shared" si="43"/>
        <v>0.28409090909090906</v>
      </c>
      <c r="U562" s="1" t="str">
        <f t="shared" si="44"/>
        <v>Profitable ✅</v>
      </c>
    </row>
    <row r="563" spans="1:21" x14ac:dyDescent="0.35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  <c r="Q563" s="18">
        <f t="shared" si="40"/>
        <v>0.2424242424242424</v>
      </c>
      <c r="R563" s="18">
        <f t="shared" si="41"/>
        <v>0.12</v>
      </c>
      <c r="S563" s="1" t="str">
        <f t="shared" si="42"/>
        <v>Large</v>
      </c>
      <c r="T563" s="18">
        <f t="shared" si="43"/>
        <v>0.75757575757575768</v>
      </c>
      <c r="U563" s="1" t="str">
        <f t="shared" si="44"/>
        <v>Profitable ✅</v>
      </c>
    </row>
    <row r="564" spans="1:21" x14ac:dyDescent="0.35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  <c r="Q564" s="18">
        <f t="shared" si="40"/>
        <v>0.15584415584415584</v>
      </c>
      <c r="R564" s="18">
        <f t="shared" si="41"/>
        <v>0.12</v>
      </c>
      <c r="S564" s="1" t="str">
        <f t="shared" si="42"/>
        <v>Large</v>
      </c>
      <c r="T564" s="18">
        <f t="shared" si="43"/>
        <v>0.8441558441558441</v>
      </c>
      <c r="U564" s="1" t="str">
        <f t="shared" si="44"/>
        <v>Profitable ✅</v>
      </c>
    </row>
    <row r="565" spans="1:21" x14ac:dyDescent="0.35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  <c r="Q565" s="18">
        <f t="shared" si="40"/>
        <v>0.15584415584415584</v>
      </c>
      <c r="R565" s="18">
        <f t="shared" si="41"/>
        <v>0.12</v>
      </c>
      <c r="S565" s="1" t="str">
        <f t="shared" si="42"/>
        <v>Enterprise</v>
      </c>
      <c r="T565" s="18">
        <f t="shared" si="43"/>
        <v>0.8441558441558441</v>
      </c>
      <c r="U565" s="1" t="str">
        <f t="shared" si="44"/>
        <v>Profitable ✅</v>
      </c>
    </row>
    <row r="566" spans="1:21" x14ac:dyDescent="0.35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  <c r="Q566" s="18">
        <f t="shared" si="40"/>
        <v>-9.0909090909090912E-2</v>
      </c>
      <c r="R566" s="18">
        <f t="shared" si="41"/>
        <v>0.12</v>
      </c>
      <c r="S566" s="1" t="str">
        <f t="shared" si="42"/>
        <v>Enterprise</v>
      </c>
      <c r="T566" s="18">
        <f t="shared" si="43"/>
        <v>1.0909090909090908</v>
      </c>
      <c r="U566" s="1" t="str">
        <f t="shared" si="44"/>
        <v>Loss ❌</v>
      </c>
    </row>
    <row r="567" spans="1:21" x14ac:dyDescent="0.35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  <c r="Q567" s="18">
        <f t="shared" si="40"/>
        <v>0.43181818181818182</v>
      </c>
      <c r="R567" s="18">
        <f t="shared" si="41"/>
        <v>0.12</v>
      </c>
      <c r="S567" s="1" t="str">
        <f t="shared" si="42"/>
        <v>Medium</v>
      </c>
      <c r="T567" s="18">
        <f t="shared" si="43"/>
        <v>0.56818181818181823</v>
      </c>
      <c r="U567" s="1" t="str">
        <f t="shared" si="44"/>
        <v>Profitable ✅</v>
      </c>
    </row>
    <row r="568" spans="1:21" x14ac:dyDescent="0.35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  <c r="Q568" s="18">
        <f t="shared" si="40"/>
        <v>0.15584415584415584</v>
      </c>
      <c r="R568" s="18">
        <f t="shared" si="41"/>
        <v>0.12</v>
      </c>
      <c r="S568" s="1" t="str">
        <f t="shared" si="42"/>
        <v>Large</v>
      </c>
      <c r="T568" s="18">
        <f t="shared" si="43"/>
        <v>0.8441558441558441</v>
      </c>
      <c r="U568" s="1" t="str">
        <f t="shared" si="44"/>
        <v>Profitable ✅</v>
      </c>
    </row>
    <row r="569" spans="1:21" x14ac:dyDescent="0.35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  <c r="Q569" s="18">
        <f t="shared" si="40"/>
        <v>0.18831168831168826</v>
      </c>
      <c r="R569" s="18">
        <f t="shared" si="41"/>
        <v>0.12</v>
      </c>
      <c r="S569" s="1" t="str">
        <f t="shared" si="42"/>
        <v>Medium</v>
      </c>
      <c r="T569" s="18">
        <f t="shared" si="43"/>
        <v>0.81168831168831179</v>
      </c>
      <c r="U569" s="1" t="str">
        <f t="shared" si="44"/>
        <v>Profitable ✅</v>
      </c>
    </row>
    <row r="570" spans="1:21" x14ac:dyDescent="0.35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  <c r="Q570" s="18">
        <f t="shared" si="40"/>
        <v>0.18831168831168824</v>
      </c>
      <c r="R570" s="18">
        <f t="shared" si="41"/>
        <v>0.12</v>
      </c>
      <c r="S570" s="1" t="str">
        <f t="shared" si="42"/>
        <v>Medium</v>
      </c>
      <c r="T570" s="18">
        <f t="shared" si="43"/>
        <v>0.81168831168831179</v>
      </c>
      <c r="U570" s="1" t="str">
        <f t="shared" si="44"/>
        <v>Profitable ✅</v>
      </c>
    </row>
    <row r="571" spans="1:21" x14ac:dyDescent="0.35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  <c r="Q571" s="18">
        <f t="shared" si="40"/>
        <v>0.2424242424242424</v>
      </c>
      <c r="R571" s="18">
        <f t="shared" si="41"/>
        <v>0.12</v>
      </c>
      <c r="S571" s="1" t="str">
        <f t="shared" si="42"/>
        <v>Medium</v>
      </c>
      <c r="T571" s="18">
        <f t="shared" si="43"/>
        <v>0.75757575757575757</v>
      </c>
      <c r="U571" s="1" t="str">
        <f t="shared" si="44"/>
        <v>Profitable ✅</v>
      </c>
    </row>
    <row r="572" spans="1:21" x14ac:dyDescent="0.35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  <c r="Q572" s="18">
        <f t="shared" si="40"/>
        <v>0.43181818181818182</v>
      </c>
      <c r="R572" s="18">
        <f t="shared" si="41"/>
        <v>0.12000000000000001</v>
      </c>
      <c r="S572" s="1" t="str">
        <f t="shared" si="42"/>
        <v>Medium</v>
      </c>
      <c r="T572" s="18">
        <f t="shared" si="43"/>
        <v>0.56818181818181823</v>
      </c>
      <c r="U572" s="1" t="str">
        <f t="shared" si="44"/>
        <v>Profitable ✅</v>
      </c>
    </row>
    <row r="573" spans="1:21" x14ac:dyDescent="0.35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  <c r="Q573" s="18">
        <f t="shared" si="40"/>
        <v>0.71590909090909094</v>
      </c>
      <c r="R573" s="18">
        <f t="shared" si="41"/>
        <v>0.12000000000000001</v>
      </c>
      <c r="S573" s="1" t="str">
        <f t="shared" si="42"/>
        <v>Medium</v>
      </c>
      <c r="T573" s="18">
        <f t="shared" si="43"/>
        <v>0.28409090909090912</v>
      </c>
      <c r="U573" s="1" t="str">
        <f t="shared" si="44"/>
        <v>Profitable ✅</v>
      </c>
    </row>
    <row r="574" spans="1:21" x14ac:dyDescent="0.35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  <c r="Q574" s="18">
        <f t="shared" si="40"/>
        <v>0.43181818181818177</v>
      </c>
      <c r="R574" s="18">
        <f t="shared" si="41"/>
        <v>0.12000000000000001</v>
      </c>
      <c r="S574" s="1" t="str">
        <f t="shared" si="42"/>
        <v>Medium</v>
      </c>
      <c r="T574" s="18">
        <f t="shared" si="43"/>
        <v>0.56818181818181823</v>
      </c>
      <c r="U574" s="1" t="str">
        <f t="shared" si="44"/>
        <v>Profitable ✅</v>
      </c>
    </row>
    <row r="575" spans="1:21" x14ac:dyDescent="0.35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  <c r="Q575" s="18">
        <f t="shared" si="40"/>
        <v>0.18831168831168826</v>
      </c>
      <c r="R575" s="18">
        <f t="shared" si="41"/>
        <v>0.12000000000000001</v>
      </c>
      <c r="S575" s="1" t="str">
        <f t="shared" si="42"/>
        <v>Small</v>
      </c>
      <c r="T575" s="18">
        <f t="shared" si="43"/>
        <v>0.81168831168831168</v>
      </c>
      <c r="U575" s="1" t="str">
        <f t="shared" si="44"/>
        <v>Profitable ✅</v>
      </c>
    </row>
    <row r="576" spans="1:21" x14ac:dyDescent="0.35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  <c r="Q576" s="18">
        <f t="shared" si="40"/>
        <v>0.43181818181818177</v>
      </c>
      <c r="R576" s="18">
        <f t="shared" si="41"/>
        <v>0.12000000000000001</v>
      </c>
      <c r="S576" s="1" t="str">
        <f t="shared" si="42"/>
        <v>Medium</v>
      </c>
      <c r="T576" s="18">
        <f t="shared" si="43"/>
        <v>0.56818181818181823</v>
      </c>
      <c r="U576" s="1" t="str">
        <f t="shared" si="44"/>
        <v>Profitable ✅</v>
      </c>
    </row>
    <row r="577" spans="1:21" x14ac:dyDescent="0.35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  <c r="Q577" s="18">
        <f t="shared" si="40"/>
        <v>0.71590909090909094</v>
      </c>
      <c r="R577" s="18">
        <f t="shared" si="41"/>
        <v>0.12000000000000001</v>
      </c>
      <c r="S577" s="1" t="str">
        <f t="shared" si="42"/>
        <v>Medium</v>
      </c>
      <c r="T577" s="18">
        <f t="shared" si="43"/>
        <v>0.28409090909090912</v>
      </c>
      <c r="U577" s="1" t="str">
        <f t="shared" si="44"/>
        <v>Profitable ✅</v>
      </c>
    </row>
    <row r="578" spans="1:21" x14ac:dyDescent="0.35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  <c r="Q578" s="18">
        <f t="shared" ref="Q578:Q641" si="45">IF(J578=0,0,L578/J578)</f>
        <v>0.23371647509578541</v>
      </c>
      <c r="R578" s="18">
        <f t="shared" ref="R578:R641" si="46">IF(H578=0,0, I578/H578)</f>
        <v>0.12999999999999998</v>
      </c>
      <c r="S578" s="1" t="str">
        <f t="shared" ref="S578:S641" si="47">IF(J578&lt;10000,"Small",IF(J578&lt;50000,"Medium",IF(J578&lt;200000,"Large","Enterprise")))</f>
        <v>Medium</v>
      </c>
      <c r="T578" s="18">
        <f t="shared" ref="T578:T641" si="48">IF(J578=0,0,K578/J578)</f>
        <v>0.76628352490421459</v>
      </c>
      <c r="U578" s="1" t="str">
        <f t="shared" ref="U578:U641" si="49">IFERROR(IF(L578&gt;0,"Profitable ✅",IF(L578=0,"Breakeven ⚖️","Loss ❌")),"Check Data 📊")</f>
        <v>Profitable ✅</v>
      </c>
    </row>
    <row r="579" spans="1:21" x14ac:dyDescent="0.35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  <c r="Q579" s="18">
        <f t="shared" si="45"/>
        <v>0.23371647509578541</v>
      </c>
      <c r="R579" s="18">
        <f t="shared" si="46"/>
        <v>0.12999999999999998</v>
      </c>
      <c r="S579" s="1" t="str">
        <f t="shared" si="47"/>
        <v>Medium</v>
      </c>
      <c r="T579" s="18">
        <f t="shared" si="48"/>
        <v>0.76628352490421459</v>
      </c>
      <c r="U579" s="1" t="str">
        <f t="shared" si="49"/>
        <v>Profitable ✅</v>
      </c>
    </row>
    <row r="580" spans="1:21" x14ac:dyDescent="0.35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  <c r="Q580" s="18">
        <f t="shared" si="45"/>
        <v>0.14614121510673234</v>
      </c>
      <c r="R580" s="18">
        <f t="shared" si="46"/>
        <v>0.13</v>
      </c>
      <c r="S580" s="1" t="str">
        <f t="shared" si="47"/>
        <v>Enterprise</v>
      </c>
      <c r="T580" s="18">
        <f t="shared" si="48"/>
        <v>0.85385878489326761</v>
      </c>
      <c r="U580" s="1" t="str">
        <f t="shared" si="49"/>
        <v>Profitable ✅</v>
      </c>
    </row>
    <row r="581" spans="1:21" x14ac:dyDescent="0.35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  <c r="Q581" s="18">
        <f t="shared" si="45"/>
        <v>0.14614121510673234</v>
      </c>
      <c r="R581" s="18">
        <f t="shared" si="46"/>
        <v>0.13</v>
      </c>
      <c r="S581" s="1" t="str">
        <f t="shared" si="47"/>
        <v>Enterprise</v>
      </c>
      <c r="T581" s="18">
        <f t="shared" si="48"/>
        <v>0.85385878489326761</v>
      </c>
      <c r="U581" s="1" t="str">
        <f t="shared" si="49"/>
        <v>Profitable ✅</v>
      </c>
    </row>
    <row r="582" spans="1:21" x14ac:dyDescent="0.35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  <c r="Q582" s="18">
        <f t="shared" si="45"/>
        <v>0.42528735632183912</v>
      </c>
      <c r="R582" s="18">
        <f t="shared" si="46"/>
        <v>0.13</v>
      </c>
      <c r="S582" s="1" t="str">
        <f t="shared" si="47"/>
        <v>Small</v>
      </c>
      <c r="T582" s="18">
        <f t="shared" si="48"/>
        <v>0.57471264367816088</v>
      </c>
      <c r="U582" s="1" t="str">
        <f t="shared" si="49"/>
        <v>Profitable ✅</v>
      </c>
    </row>
    <row r="583" spans="1:21" x14ac:dyDescent="0.35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  <c r="Q583" s="18">
        <f t="shared" si="45"/>
        <v>0.14614121510673234</v>
      </c>
      <c r="R583" s="18">
        <f t="shared" si="46"/>
        <v>0.13</v>
      </c>
      <c r="S583" s="1" t="str">
        <f t="shared" si="47"/>
        <v>Enterprise</v>
      </c>
      <c r="T583" s="18">
        <f t="shared" si="48"/>
        <v>0.85385878489326761</v>
      </c>
      <c r="U583" s="1" t="str">
        <f t="shared" si="49"/>
        <v>Profitable ✅</v>
      </c>
    </row>
    <row r="584" spans="1:21" x14ac:dyDescent="0.35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  <c r="Q584" s="18">
        <f t="shared" si="45"/>
        <v>0.17898193760262723</v>
      </c>
      <c r="R584" s="18">
        <f t="shared" si="46"/>
        <v>0.13</v>
      </c>
      <c r="S584" s="1" t="str">
        <f t="shared" si="47"/>
        <v>Small</v>
      </c>
      <c r="T584" s="18">
        <f t="shared" si="48"/>
        <v>0.82101806239737274</v>
      </c>
      <c r="U584" s="1" t="str">
        <f t="shared" si="49"/>
        <v>Profitable ✅</v>
      </c>
    </row>
    <row r="585" spans="1:21" x14ac:dyDescent="0.35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  <c r="Q585" s="18">
        <f t="shared" si="45"/>
        <v>0.71264367816091956</v>
      </c>
      <c r="R585" s="18">
        <f t="shared" si="46"/>
        <v>0.13</v>
      </c>
      <c r="S585" s="1" t="str">
        <f t="shared" si="47"/>
        <v>Small</v>
      </c>
      <c r="T585" s="18">
        <f t="shared" si="48"/>
        <v>0.28735632183908044</v>
      </c>
      <c r="U585" s="1" t="str">
        <f t="shared" si="49"/>
        <v>Profitable ✅</v>
      </c>
    </row>
    <row r="586" spans="1:21" x14ac:dyDescent="0.35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  <c r="Q586" s="18">
        <f t="shared" si="45"/>
        <v>0.42528735632183906</v>
      </c>
      <c r="R586" s="18">
        <f t="shared" si="46"/>
        <v>0.13</v>
      </c>
      <c r="S586" s="1" t="str">
        <f t="shared" si="47"/>
        <v>Medium</v>
      </c>
      <c r="T586" s="18">
        <f t="shared" si="48"/>
        <v>0.57471264367816088</v>
      </c>
      <c r="U586" s="1" t="str">
        <f t="shared" si="49"/>
        <v>Profitable ✅</v>
      </c>
    </row>
    <row r="587" spans="1:21" x14ac:dyDescent="0.35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  <c r="Q587" s="18">
        <f t="shared" si="45"/>
        <v>0.42528735632183906</v>
      </c>
      <c r="R587" s="18">
        <f t="shared" si="46"/>
        <v>0.13</v>
      </c>
      <c r="S587" s="1" t="str">
        <f t="shared" si="47"/>
        <v>Medium</v>
      </c>
      <c r="T587" s="18">
        <f t="shared" si="48"/>
        <v>0.57471264367816099</v>
      </c>
      <c r="U587" s="1" t="str">
        <f t="shared" si="49"/>
        <v>Profitable ✅</v>
      </c>
    </row>
    <row r="588" spans="1:21" x14ac:dyDescent="0.35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  <c r="Q588" s="18">
        <f t="shared" si="45"/>
        <v>0.17898193760262718</v>
      </c>
      <c r="R588" s="18">
        <f t="shared" si="46"/>
        <v>0.13</v>
      </c>
      <c r="S588" s="1" t="str">
        <f t="shared" si="47"/>
        <v>Small</v>
      </c>
      <c r="T588" s="18">
        <f t="shared" si="48"/>
        <v>0.82101806239737274</v>
      </c>
      <c r="U588" s="1" t="str">
        <f t="shared" si="49"/>
        <v>Profitable ✅</v>
      </c>
    </row>
    <row r="589" spans="1:21" x14ac:dyDescent="0.35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  <c r="Q589" s="18">
        <f t="shared" si="45"/>
        <v>4.2145593869731802E-2</v>
      </c>
      <c r="R589" s="18">
        <f t="shared" si="46"/>
        <v>0.13</v>
      </c>
      <c r="S589" s="1" t="str">
        <f t="shared" si="47"/>
        <v>Enterprise</v>
      </c>
      <c r="T589" s="18">
        <f t="shared" si="48"/>
        <v>0.95785440613026818</v>
      </c>
      <c r="U589" s="1" t="str">
        <f t="shared" si="49"/>
        <v>Profitable ✅</v>
      </c>
    </row>
    <row r="590" spans="1:21" x14ac:dyDescent="0.35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  <c r="Q590" s="18">
        <f t="shared" si="45"/>
        <v>0.42528735632183912</v>
      </c>
      <c r="R590" s="18">
        <f t="shared" si="46"/>
        <v>0.13</v>
      </c>
      <c r="S590" s="1" t="str">
        <f t="shared" si="47"/>
        <v>Medium</v>
      </c>
      <c r="T590" s="18">
        <f t="shared" si="48"/>
        <v>0.57471264367816088</v>
      </c>
      <c r="U590" s="1" t="str">
        <f t="shared" si="49"/>
        <v>Profitable ✅</v>
      </c>
    </row>
    <row r="591" spans="1:21" x14ac:dyDescent="0.35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  <c r="Q591" s="18">
        <f t="shared" si="45"/>
        <v>0.42528735632183906</v>
      </c>
      <c r="R591" s="18">
        <f t="shared" si="46"/>
        <v>0.13</v>
      </c>
      <c r="S591" s="1" t="str">
        <f t="shared" si="47"/>
        <v>Medium</v>
      </c>
      <c r="T591" s="18">
        <f t="shared" si="48"/>
        <v>0.57471264367816099</v>
      </c>
      <c r="U591" s="1" t="str">
        <f t="shared" si="49"/>
        <v>Profitable ✅</v>
      </c>
    </row>
    <row r="592" spans="1:21" x14ac:dyDescent="0.35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  <c r="Q592" s="18">
        <f t="shared" si="45"/>
        <v>0.14614121510673234</v>
      </c>
      <c r="R592" s="18">
        <f t="shared" si="46"/>
        <v>0.13</v>
      </c>
      <c r="S592" s="1" t="str">
        <f t="shared" si="47"/>
        <v>Enterprise</v>
      </c>
      <c r="T592" s="18">
        <f t="shared" si="48"/>
        <v>0.85385878489326761</v>
      </c>
      <c r="U592" s="1" t="str">
        <f t="shared" si="49"/>
        <v>Profitable ✅</v>
      </c>
    </row>
    <row r="593" spans="1:21" x14ac:dyDescent="0.35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  <c r="Q593" s="18">
        <f t="shared" si="45"/>
        <v>-0.10344827586206896</v>
      </c>
      <c r="R593" s="18">
        <f t="shared" si="46"/>
        <v>0.13</v>
      </c>
      <c r="S593" s="1" t="str">
        <f t="shared" si="47"/>
        <v>Large</v>
      </c>
      <c r="T593" s="18">
        <f t="shared" si="48"/>
        <v>1.103448275862069</v>
      </c>
      <c r="U593" s="1" t="str">
        <f t="shared" si="49"/>
        <v>Loss ❌</v>
      </c>
    </row>
    <row r="594" spans="1:21" x14ac:dyDescent="0.35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  <c r="Q594" s="18">
        <f t="shared" si="45"/>
        <v>0.71264367816091956</v>
      </c>
      <c r="R594" s="18">
        <f t="shared" si="46"/>
        <v>0.13</v>
      </c>
      <c r="S594" s="1" t="str">
        <f t="shared" si="47"/>
        <v>Small</v>
      </c>
      <c r="T594" s="18">
        <f t="shared" si="48"/>
        <v>0.2873563218390805</v>
      </c>
      <c r="U594" s="1" t="str">
        <f t="shared" si="49"/>
        <v>Profitable ✅</v>
      </c>
    </row>
    <row r="595" spans="1:21" x14ac:dyDescent="0.35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  <c r="Q595" s="18">
        <f t="shared" si="45"/>
        <v>0.17898193760262723</v>
      </c>
      <c r="R595" s="18">
        <f t="shared" si="46"/>
        <v>0.13</v>
      </c>
      <c r="S595" s="1" t="str">
        <f t="shared" si="47"/>
        <v>Medium</v>
      </c>
      <c r="T595" s="18">
        <f t="shared" si="48"/>
        <v>0.82101806239737274</v>
      </c>
      <c r="U595" s="1" t="str">
        <f t="shared" si="49"/>
        <v>Profitable ✅</v>
      </c>
    </row>
    <row r="596" spans="1:21" x14ac:dyDescent="0.35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  <c r="Q596" s="18">
        <f t="shared" si="45"/>
        <v>0.23371647509578544</v>
      </c>
      <c r="R596" s="18">
        <f t="shared" si="46"/>
        <v>0.13</v>
      </c>
      <c r="S596" s="1" t="str">
        <f t="shared" si="47"/>
        <v>Medium</v>
      </c>
      <c r="T596" s="18">
        <f t="shared" si="48"/>
        <v>0.76628352490421459</v>
      </c>
      <c r="U596" s="1" t="str">
        <f t="shared" si="49"/>
        <v>Profitable ✅</v>
      </c>
    </row>
    <row r="597" spans="1:21" x14ac:dyDescent="0.35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  <c r="Q597" s="18">
        <f t="shared" si="45"/>
        <v>0.42528735632183906</v>
      </c>
      <c r="R597" s="18">
        <f t="shared" si="46"/>
        <v>0.13</v>
      </c>
      <c r="S597" s="1" t="str">
        <f t="shared" si="47"/>
        <v>Medium</v>
      </c>
      <c r="T597" s="18">
        <f t="shared" si="48"/>
        <v>0.57471264367816099</v>
      </c>
      <c r="U597" s="1" t="str">
        <f t="shared" si="49"/>
        <v>Profitable ✅</v>
      </c>
    </row>
    <row r="598" spans="1:21" x14ac:dyDescent="0.35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  <c r="Q598" s="18">
        <f t="shared" si="45"/>
        <v>0.14614121510673234</v>
      </c>
      <c r="R598" s="18">
        <f t="shared" si="46"/>
        <v>0.13</v>
      </c>
      <c r="S598" s="1" t="str">
        <f t="shared" si="47"/>
        <v>Large</v>
      </c>
      <c r="T598" s="18">
        <f t="shared" si="48"/>
        <v>0.85385878489326761</v>
      </c>
      <c r="U598" s="1" t="str">
        <f t="shared" si="49"/>
        <v>Profitable ✅</v>
      </c>
    </row>
    <row r="599" spans="1:21" x14ac:dyDescent="0.35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  <c r="Q599" s="18">
        <f t="shared" si="45"/>
        <v>0.71264367816091956</v>
      </c>
      <c r="R599" s="18">
        <f t="shared" si="46"/>
        <v>0.13</v>
      </c>
      <c r="S599" s="1" t="str">
        <f t="shared" si="47"/>
        <v>Medium</v>
      </c>
      <c r="T599" s="18">
        <f t="shared" si="48"/>
        <v>0.2873563218390805</v>
      </c>
      <c r="U599" s="1" t="str">
        <f t="shared" si="49"/>
        <v>Profitable ✅</v>
      </c>
    </row>
    <row r="600" spans="1:21" x14ac:dyDescent="0.35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  <c r="Q600" s="18">
        <f t="shared" si="45"/>
        <v>0.23371647509578544</v>
      </c>
      <c r="R600" s="18">
        <f t="shared" si="46"/>
        <v>0.13</v>
      </c>
      <c r="S600" s="1" t="str">
        <f t="shared" si="47"/>
        <v>Large</v>
      </c>
      <c r="T600" s="18">
        <f t="shared" si="48"/>
        <v>0.76628352490421459</v>
      </c>
      <c r="U600" s="1" t="str">
        <f t="shared" si="49"/>
        <v>Profitable ✅</v>
      </c>
    </row>
    <row r="601" spans="1:21" x14ac:dyDescent="0.35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  <c r="Q601" s="18">
        <f t="shared" si="45"/>
        <v>0.14614121510673234</v>
      </c>
      <c r="R601" s="18">
        <f t="shared" si="46"/>
        <v>0.13</v>
      </c>
      <c r="S601" s="1" t="str">
        <f t="shared" si="47"/>
        <v>Enterprise</v>
      </c>
      <c r="T601" s="18">
        <f t="shared" si="48"/>
        <v>0.85385878489326761</v>
      </c>
      <c r="U601" s="1" t="str">
        <f t="shared" si="49"/>
        <v>Profitable ✅</v>
      </c>
    </row>
    <row r="602" spans="1:21" x14ac:dyDescent="0.35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  <c r="Q602" s="18">
        <f t="shared" si="45"/>
        <v>0.17898193760262729</v>
      </c>
      <c r="R602" s="18">
        <f t="shared" si="46"/>
        <v>0.13</v>
      </c>
      <c r="S602" s="1" t="str">
        <f t="shared" si="47"/>
        <v>Small</v>
      </c>
      <c r="T602" s="18">
        <f t="shared" si="48"/>
        <v>0.82101806239737274</v>
      </c>
      <c r="U602" s="1" t="str">
        <f t="shared" si="49"/>
        <v>Profitable ✅</v>
      </c>
    </row>
    <row r="603" spans="1:21" x14ac:dyDescent="0.35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  <c r="Q603" s="18">
        <f t="shared" si="45"/>
        <v>0.71264367816091956</v>
      </c>
      <c r="R603" s="18">
        <f t="shared" si="46"/>
        <v>0.13</v>
      </c>
      <c r="S603" s="1" t="str">
        <f t="shared" si="47"/>
        <v>Small</v>
      </c>
      <c r="T603" s="18">
        <f t="shared" si="48"/>
        <v>0.28735632183908044</v>
      </c>
      <c r="U603" s="1" t="str">
        <f t="shared" si="49"/>
        <v>Profitable ✅</v>
      </c>
    </row>
    <row r="604" spans="1:21" x14ac:dyDescent="0.35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  <c r="Q604" s="18">
        <f t="shared" si="45"/>
        <v>0.23371647509578544</v>
      </c>
      <c r="R604" s="18">
        <f t="shared" si="46"/>
        <v>0.13</v>
      </c>
      <c r="S604" s="1" t="str">
        <f t="shared" si="47"/>
        <v>Small</v>
      </c>
      <c r="T604" s="18">
        <f t="shared" si="48"/>
        <v>0.76628352490421459</v>
      </c>
      <c r="U604" s="1" t="str">
        <f t="shared" si="49"/>
        <v>Profitable ✅</v>
      </c>
    </row>
    <row r="605" spans="1:21" x14ac:dyDescent="0.35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  <c r="Q605" s="18">
        <f t="shared" si="45"/>
        <v>0.71264367816091956</v>
      </c>
      <c r="R605" s="18">
        <f t="shared" si="46"/>
        <v>0.13</v>
      </c>
      <c r="S605" s="1" t="str">
        <f t="shared" si="47"/>
        <v>Small</v>
      </c>
      <c r="T605" s="18">
        <f t="shared" si="48"/>
        <v>0.2873563218390805</v>
      </c>
      <c r="U605" s="1" t="str">
        <f t="shared" si="49"/>
        <v>Profitable ✅</v>
      </c>
    </row>
    <row r="606" spans="1:21" x14ac:dyDescent="0.35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  <c r="Q606" s="18">
        <f t="shared" si="45"/>
        <v>4.2145593869731802E-2</v>
      </c>
      <c r="R606" s="18">
        <f t="shared" si="46"/>
        <v>0.13</v>
      </c>
      <c r="S606" s="1" t="str">
        <f t="shared" si="47"/>
        <v>Enterprise</v>
      </c>
      <c r="T606" s="18">
        <f t="shared" si="48"/>
        <v>0.95785440613026818</v>
      </c>
      <c r="U606" s="1" t="str">
        <f t="shared" si="49"/>
        <v>Profitable ✅</v>
      </c>
    </row>
    <row r="607" spans="1:21" x14ac:dyDescent="0.35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  <c r="Q607" s="18">
        <f t="shared" si="45"/>
        <v>0.71264367816091956</v>
      </c>
      <c r="R607" s="18">
        <f t="shared" si="46"/>
        <v>0.13</v>
      </c>
      <c r="S607" s="1" t="str">
        <f t="shared" si="47"/>
        <v>Medium</v>
      </c>
      <c r="T607" s="18">
        <f t="shared" si="48"/>
        <v>0.2873563218390805</v>
      </c>
      <c r="U607" s="1" t="str">
        <f t="shared" si="49"/>
        <v>Profitable ✅</v>
      </c>
    </row>
    <row r="608" spans="1:21" x14ac:dyDescent="0.35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  <c r="Q608" s="18">
        <f t="shared" si="45"/>
        <v>-0.10344827586206896</v>
      </c>
      <c r="R608" s="18">
        <f t="shared" si="46"/>
        <v>0.13</v>
      </c>
      <c r="S608" s="1" t="str">
        <f t="shared" si="47"/>
        <v>Large</v>
      </c>
      <c r="T608" s="18">
        <f t="shared" si="48"/>
        <v>1.103448275862069</v>
      </c>
      <c r="U608" s="1" t="str">
        <f t="shared" si="49"/>
        <v>Loss ❌</v>
      </c>
    </row>
    <row r="609" spans="1:21" x14ac:dyDescent="0.35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  <c r="Q609" s="18">
        <f t="shared" si="45"/>
        <v>0.23371647509578544</v>
      </c>
      <c r="R609" s="18">
        <f t="shared" si="46"/>
        <v>0.13</v>
      </c>
      <c r="S609" s="1" t="str">
        <f t="shared" si="47"/>
        <v>Medium</v>
      </c>
      <c r="T609" s="18">
        <f t="shared" si="48"/>
        <v>0.76628352490421459</v>
      </c>
      <c r="U609" s="1" t="str">
        <f t="shared" si="49"/>
        <v>Profitable ✅</v>
      </c>
    </row>
    <row r="610" spans="1:21" x14ac:dyDescent="0.35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  <c r="Q610" s="18">
        <f t="shared" si="45"/>
        <v>-0.10344827586206896</v>
      </c>
      <c r="R610" s="18">
        <f t="shared" si="46"/>
        <v>0.13</v>
      </c>
      <c r="S610" s="1" t="str">
        <f t="shared" si="47"/>
        <v>Large</v>
      </c>
      <c r="T610" s="18">
        <f t="shared" si="48"/>
        <v>1.103448275862069</v>
      </c>
      <c r="U610" s="1" t="str">
        <f t="shared" si="49"/>
        <v>Loss ❌</v>
      </c>
    </row>
    <row r="611" spans="1:21" x14ac:dyDescent="0.35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  <c r="Q611" s="18">
        <f t="shared" si="45"/>
        <v>0.17898193760262729</v>
      </c>
      <c r="R611" s="18">
        <f t="shared" si="46"/>
        <v>0.13</v>
      </c>
      <c r="S611" s="1" t="str">
        <f t="shared" si="47"/>
        <v>Small</v>
      </c>
      <c r="T611" s="18">
        <f t="shared" si="48"/>
        <v>0.82101806239737274</v>
      </c>
      <c r="U611" s="1" t="str">
        <f t="shared" si="49"/>
        <v>Profitable ✅</v>
      </c>
    </row>
    <row r="612" spans="1:21" x14ac:dyDescent="0.35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  <c r="Q612" s="18">
        <f t="shared" si="45"/>
        <v>0.71264367816091956</v>
      </c>
      <c r="R612" s="18">
        <f t="shared" si="46"/>
        <v>0.13</v>
      </c>
      <c r="S612" s="1" t="str">
        <f t="shared" si="47"/>
        <v>Small</v>
      </c>
      <c r="T612" s="18">
        <f t="shared" si="48"/>
        <v>0.2873563218390805</v>
      </c>
      <c r="U612" s="1" t="str">
        <f t="shared" si="49"/>
        <v>Profitable ✅</v>
      </c>
    </row>
    <row r="613" spans="1:21" x14ac:dyDescent="0.35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  <c r="Q613" s="18">
        <f t="shared" si="45"/>
        <v>0.71264367816091956</v>
      </c>
      <c r="R613" s="18">
        <f t="shared" si="46"/>
        <v>0.13</v>
      </c>
      <c r="S613" s="1" t="str">
        <f t="shared" si="47"/>
        <v>Medium</v>
      </c>
      <c r="T613" s="18">
        <f t="shared" si="48"/>
        <v>0.2873563218390805</v>
      </c>
      <c r="U613" s="1" t="str">
        <f t="shared" si="49"/>
        <v>Profitable ✅</v>
      </c>
    </row>
    <row r="614" spans="1:21" x14ac:dyDescent="0.35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  <c r="Q614" s="18">
        <f t="shared" si="45"/>
        <v>0.41860465116279072</v>
      </c>
      <c r="R614" s="18">
        <f t="shared" si="46"/>
        <v>0.13999999999999999</v>
      </c>
      <c r="S614" s="1" t="str">
        <f t="shared" si="47"/>
        <v>Medium</v>
      </c>
      <c r="T614" s="18">
        <f t="shared" si="48"/>
        <v>0.58139534883720922</v>
      </c>
      <c r="U614" s="1" t="str">
        <f t="shared" si="49"/>
        <v>Profitable ✅</v>
      </c>
    </row>
    <row r="615" spans="1:21" x14ac:dyDescent="0.35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  <c r="Q615" s="18">
        <f t="shared" si="45"/>
        <v>0.41860465116279066</v>
      </c>
      <c r="R615" s="18">
        <f t="shared" si="46"/>
        <v>0.13999999999999999</v>
      </c>
      <c r="S615" s="1" t="str">
        <f t="shared" si="47"/>
        <v>Medium</v>
      </c>
      <c r="T615" s="18">
        <f t="shared" si="48"/>
        <v>0.58139534883720934</v>
      </c>
      <c r="U615" s="1" t="str">
        <f t="shared" si="49"/>
        <v>Profitable ✅</v>
      </c>
    </row>
    <row r="616" spans="1:21" x14ac:dyDescent="0.35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  <c r="Q616" s="18">
        <f t="shared" si="45"/>
        <v>0.16943521594684377</v>
      </c>
      <c r="R616" s="18">
        <f t="shared" si="46"/>
        <v>0.13999999999999999</v>
      </c>
      <c r="S616" s="1" t="str">
        <f t="shared" si="47"/>
        <v>Medium</v>
      </c>
      <c r="T616" s="18">
        <f t="shared" si="48"/>
        <v>0.83056478405315626</v>
      </c>
      <c r="U616" s="1" t="str">
        <f t="shared" si="49"/>
        <v>Profitable ✅</v>
      </c>
    </row>
    <row r="617" spans="1:21" x14ac:dyDescent="0.35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  <c r="Q617" s="18">
        <f t="shared" si="45"/>
        <v>0.1694352159468438</v>
      </c>
      <c r="R617" s="18">
        <f t="shared" si="46"/>
        <v>0.13999999999999999</v>
      </c>
      <c r="S617" s="1" t="str">
        <f t="shared" si="47"/>
        <v>Small</v>
      </c>
      <c r="T617" s="18">
        <f t="shared" si="48"/>
        <v>0.83056478405315615</v>
      </c>
      <c r="U617" s="1" t="str">
        <f t="shared" si="49"/>
        <v>Profitable ✅</v>
      </c>
    </row>
    <row r="618" spans="1:21" x14ac:dyDescent="0.35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  <c r="Q618" s="18">
        <f t="shared" si="45"/>
        <v>0.16943521594684391</v>
      </c>
      <c r="R618" s="18">
        <f t="shared" si="46"/>
        <v>0.13999999999999999</v>
      </c>
      <c r="S618" s="1" t="str">
        <f t="shared" si="47"/>
        <v>Small</v>
      </c>
      <c r="T618" s="18">
        <f t="shared" si="48"/>
        <v>0.83056478405315604</v>
      </c>
      <c r="U618" s="1" t="str">
        <f t="shared" si="49"/>
        <v>Profitable ✅</v>
      </c>
    </row>
    <row r="619" spans="1:21" x14ac:dyDescent="0.35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  <c r="Q619" s="18">
        <f t="shared" si="45"/>
        <v>0.16943521594684377</v>
      </c>
      <c r="R619" s="18">
        <f t="shared" si="46"/>
        <v>0.13999999999999999</v>
      </c>
      <c r="S619" s="1" t="str">
        <f t="shared" si="47"/>
        <v>Medium</v>
      </c>
      <c r="T619" s="18">
        <f t="shared" si="48"/>
        <v>0.83056478405315626</v>
      </c>
      <c r="U619" s="1" t="str">
        <f t="shared" si="49"/>
        <v>Profitable ✅</v>
      </c>
    </row>
    <row r="620" spans="1:21" x14ac:dyDescent="0.35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  <c r="Q620" s="18">
        <f t="shared" si="45"/>
        <v>0.22480620155038755</v>
      </c>
      <c r="R620" s="18">
        <f t="shared" si="46"/>
        <v>0.13999999999999999</v>
      </c>
      <c r="S620" s="1" t="str">
        <f t="shared" si="47"/>
        <v>Small</v>
      </c>
      <c r="T620" s="18">
        <f t="shared" si="48"/>
        <v>0.77519379844961245</v>
      </c>
      <c r="U620" s="1" t="str">
        <f t="shared" si="49"/>
        <v>Profitable ✅</v>
      </c>
    </row>
    <row r="621" spans="1:21" x14ac:dyDescent="0.35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  <c r="Q621" s="18">
        <f t="shared" si="45"/>
        <v>0.41860465116279066</v>
      </c>
      <c r="R621" s="18">
        <f t="shared" si="46"/>
        <v>0.13999999999999999</v>
      </c>
      <c r="S621" s="1" t="str">
        <f t="shared" si="47"/>
        <v>Medium</v>
      </c>
      <c r="T621" s="18">
        <f t="shared" si="48"/>
        <v>0.58139534883720934</v>
      </c>
      <c r="U621" s="1" t="str">
        <f t="shared" si="49"/>
        <v>Profitable ✅</v>
      </c>
    </row>
    <row r="622" spans="1:21" x14ac:dyDescent="0.35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  <c r="Q622" s="18">
        <f t="shared" si="45"/>
        <v>0.22480620155038758</v>
      </c>
      <c r="R622" s="18">
        <f t="shared" si="46"/>
        <v>0.13999999999999999</v>
      </c>
      <c r="S622" s="1" t="str">
        <f t="shared" si="47"/>
        <v>Medium</v>
      </c>
      <c r="T622" s="18">
        <f t="shared" si="48"/>
        <v>0.77519379844961245</v>
      </c>
      <c r="U622" s="1" t="str">
        <f t="shared" si="49"/>
        <v>Profitable ✅</v>
      </c>
    </row>
    <row r="623" spans="1:21" x14ac:dyDescent="0.35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  <c r="Q623" s="18">
        <f t="shared" si="45"/>
        <v>0.70930232558139539</v>
      </c>
      <c r="R623" s="18">
        <f t="shared" si="46"/>
        <v>0.13999999999999999</v>
      </c>
      <c r="S623" s="1" t="str">
        <f t="shared" si="47"/>
        <v>Medium</v>
      </c>
      <c r="T623" s="18">
        <f t="shared" si="48"/>
        <v>0.29069767441860467</v>
      </c>
      <c r="U623" s="1" t="str">
        <f t="shared" si="49"/>
        <v>Profitable ✅</v>
      </c>
    </row>
    <row r="624" spans="1:21" x14ac:dyDescent="0.35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  <c r="Q624" s="18">
        <f t="shared" si="45"/>
        <v>0.1694352159468438</v>
      </c>
      <c r="R624" s="18">
        <f t="shared" si="46"/>
        <v>0.13999999999999999</v>
      </c>
      <c r="S624" s="1" t="str">
        <f t="shared" si="47"/>
        <v>Small</v>
      </c>
      <c r="T624" s="18">
        <f t="shared" si="48"/>
        <v>0.83056478405315615</v>
      </c>
      <c r="U624" s="1" t="str">
        <f t="shared" si="49"/>
        <v>Profitable ✅</v>
      </c>
    </row>
    <row r="625" spans="1:21" x14ac:dyDescent="0.35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  <c r="Q625" s="18">
        <f t="shared" si="45"/>
        <v>0.70930232558139539</v>
      </c>
      <c r="R625" s="18">
        <f t="shared" si="46"/>
        <v>0.13999999999999999</v>
      </c>
      <c r="S625" s="1" t="str">
        <f t="shared" si="47"/>
        <v>Medium</v>
      </c>
      <c r="T625" s="18">
        <f t="shared" si="48"/>
        <v>0.29069767441860467</v>
      </c>
      <c r="U625" s="1" t="str">
        <f t="shared" si="49"/>
        <v>Profitable ✅</v>
      </c>
    </row>
    <row r="626" spans="1:21" x14ac:dyDescent="0.35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  <c r="Q626" s="18">
        <f t="shared" si="45"/>
        <v>0.70930232558139539</v>
      </c>
      <c r="R626" s="18">
        <f t="shared" si="46"/>
        <v>0.13999999999999999</v>
      </c>
      <c r="S626" s="1" t="str">
        <f t="shared" si="47"/>
        <v>Medium</v>
      </c>
      <c r="T626" s="18">
        <f t="shared" si="48"/>
        <v>0.29069767441860467</v>
      </c>
      <c r="U626" s="1" t="str">
        <f t="shared" si="49"/>
        <v>Profitable ✅</v>
      </c>
    </row>
    <row r="627" spans="1:21" x14ac:dyDescent="0.35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  <c r="Q627" s="18">
        <f t="shared" si="45"/>
        <v>3.1007751937984496E-2</v>
      </c>
      <c r="R627" s="18">
        <f t="shared" si="46"/>
        <v>0.14000000000000001</v>
      </c>
      <c r="S627" s="1" t="str">
        <f t="shared" si="47"/>
        <v>Enterprise</v>
      </c>
      <c r="T627" s="18">
        <f t="shared" si="48"/>
        <v>0.96899224806201545</v>
      </c>
      <c r="U627" s="1" t="str">
        <f t="shared" si="49"/>
        <v>Profitable ✅</v>
      </c>
    </row>
    <row r="628" spans="1:21" x14ac:dyDescent="0.35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  <c r="Q628" s="18">
        <f t="shared" si="45"/>
        <v>-0.11627906976744186</v>
      </c>
      <c r="R628" s="18">
        <f t="shared" si="46"/>
        <v>0.14000000000000001</v>
      </c>
      <c r="S628" s="1" t="str">
        <f t="shared" si="47"/>
        <v>Large</v>
      </c>
      <c r="T628" s="18">
        <f t="shared" si="48"/>
        <v>1.1162790697674418</v>
      </c>
      <c r="U628" s="1" t="str">
        <f t="shared" si="49"/>
        <v>Loss ❌</v>
      </c>
    </row>
    <row r="629" spans="1:21" x14ac:dyDescent="0.35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  <c r="Q629" s="18">
        <f t="shared" si="45"/>
        <v>3.1007751937984496E-2</v>
      </c>
      <c r="R629" s="18">
        <f t="shared" si="46"/>
        <v>0.14000000000000001</v>
      </c>
      <c r="S629" s="1" t="str">
        <f t="shared" si="47"/>
        <v>Enterprise</v>
      </c>
      <c r="T629" s="18">
        <f t="shared" si="48"/>
        <v>0.96899224806201545</v>
      </c>
      <c r="U629" s="1" t="str">
        <f t="shared" si="49"/>
        <v>Profitable ✅</v>
      </c>
    </row>
    <row r="630" spans="1:21" x14ac:dyDescent="0.35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  <c r="Q630" s="18">
        <f t="shared" si="45"/>
        <v>3.1007751937984496E-2</v>
      </c>
      <c r="R630" s="18">
        <f t="shared" si="46"/>
        <v>0.14000000000000001</v>
      </c>
      <c r="S630" s="1" t="str">
        <f t="shared" si="47"/>
        <v>Enterprise</v>
      </c>
      <c r="T630" s="18">
        <f t="shared" si="48"/>
        <v>0.96899224806201545</v>
      </c>
      <c r="U630" s="1" t="str">
        <f t="shared" si="49"/>
        <v>Profitable ✅</v>
      </c>
    </row>
    <row r="631" spans="1:21" x14ac:dyDescent="0.35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  <c r="Q631" s="18">
        <f t="shared" si="45"/>
        <v>0.22480620155038764</v>
      </c>
      <c r="R631" s="18">
        <f t="shared" si="46"/>
        <v>0.14000000000000001</v>
      </c>
      <c r="S631" s="1" t="str">
        <f t="shared" si="47"/>
        <v>Medium</v>
      </c>
      <c r="T631" s="18">
        <f t="shared" si="48"/>
        <v>0.77519379844961234</v>
      </c>
      <c r="U631" s="1" t="str">
        <f t="shared" si="49"/>
        <v>Profitable ✅</v>
      </c>
    </row>
    <row r="632" spans="1:21" x14ac:dyDescent="0.35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  <c r="Q632" s="18">
        <f t="shared" si="45"/>
        <v>0.22480620155038761</v>
      </c>
      <c r="R632" s="18">
        <f t="shared" si="46"/>
        <v>0.14000000000000001</v>
      </c>
      <c r="S632" s="1" t="str">
        <f t="shared" si="47"/>
        <v>Medium</v>
      </c>
      <c r="T632" s="18">
        <f t="shared" si="48"/>
        <v>0.77519379844961245</v>
      </c>
      <c r="U632" s="1" t="str">
        <f t="shared" si="49"/>
        <v>Profitable ✅</v>
      </c>
    </row>
    <row r="633" spans="1:21" x14ac:dyDescent="0.35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  <c r="Q633" s="18">
        <f t="shared" si="45"/>
        <v>-0.11627906976744186</v>
      </c>
      <c r="R633" s="18">
        <f t="shared" si="46"/>
        <v>0.14000000000000001</v>
      </c>
      <c r="S633" s="1" t="str">
        <f t="shared" si="47"/>
        <v>Enterprise</v>
      </c>
      <c r="T633" s="18">
        <f t="shared" si="48"/>
        <v>1.1162790697674418</v>
      </c>
      <c r="U633" s="1" t="str">
        <f t="shared" si="49"/>
        <v>Loss ❌</v>
      </c>
    </row>
    <row r="634" spans="1:21" x14ac:dyDescent="0.35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  <c r="Q634" s="18">
        <f t="shared" si="45"/>
        <v>0.13621262458471761</v>
      </c>
      <c r="R634" s="18">
        <f t="shared" si="46"/>
        <v>0.14000000000000001</v>
      </c>
      <c r="S634" s="1" t="str">
        <f t="shared" si="47"/>
        <v>Enterprise</v>
      </c>
      <c r="T634" s="18">
        <f t="shared" si="48"/>
        <v>0.86378737541528239</v>
      </c>
      <c r="U634" s="1" t="str">
        <f t="shared" si="49"/>
        <v>Profitable ✅</v>
      </c>
    </row>
    <row r="635" spans="1:21" x14ac:dyDescent="0.35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  <c r="Q635" s="18">
        <f t="shared" si="45"/>
        <v>0.13621262458471761</v>
      </c>
      <c r="R635" s="18">
        <f t="shared" si="46"/>
        <v>0.14000000000000001</v>
      </c>
      <c r="S635" s="1" t="str">
        <f t="shared" si="47"/>
        <v>Enterprise</v>
      </c>
      <c r="T635" s="18">
        <f t="shared" si="48"/>
        <v>0.86378737541528239</v>
      </c>
      <c r="U635" s="1" t="str">
        <f t="shared" si="49"/>
        <v>Profitable ✅</v>
      </c>
    </row>
    <row r="636" spans="1:21" x14ac:dyDescent="0.35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  <c r="Q636" s="18">
        <f t="shared" si="45"/>
        <v>0.13621262458471761</v>
      </c>
      <c r="R636" s="18">
        <f t="shared" si="46"/>
        <v>0.14000000000000001</v>
      </c>
      <c r="S636" s="1" t="str">
        <f t="shared" si="47"/>
        <v>Large</v>
      </c>
      <c r="T636" s="18">
        <f t="shared" si="48"/>
        <v>0.86378737541528239</v>
      </c>
      <c r="U636" s="1" t="str">
        <f t="shared" si="49"/>
        <v>Profitable ✅</v>
      </c>
    </row>
    <row r="637" spans="1:21" x14ac:dyDescent="0.35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  <c r="Q637" s="18">
        <f t="shared" si="45"/>
        <v>0.16943521594684394</v>
      </c>
      <c r="R637" s="18">
        <f t="shared" si="46"/>
        <v>0.14000000000000001</v>
      </c>
      <c r="S637" s="1" t="str">
        <f t="shared" si="47"/>
        <v>Small</v>
      </c>
      <c r="T637" s="18">
        <f t="shared" si="48"/>
        <v>0.83056478405315604</v>
      </c>
      <c r="U637" s="1" t="str">
        <f t="shared" si="49"/>
        <v>Profitable ✅</v>
      </c>
    </row>
    <row r="638" spans="1:21" x14ac:dyDescent="0.35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  <c r="Q638" s="18">
        <f t="shared" si="45"/>
        <v>0.16943521594684394</v>
      </c>
      <c r="R638" s="18">
        <f t="shared" si="46"/>
        <v>0.14000000000000001</v>
      </c>
      <c r="S638" s="1" t="str">
        <f t="shared" si="47"/>
        <v>Medium</v>
      </c>
      <c r="T638" s="18">
        <f t="shared" si="48"/>
        <v>0.83056478405315604</v>
      </c>
      <c r="U638" s="1" t="str">
        <f t="shared" si="49"/>
        <v>Profitable ✅</v>
      </c>
    </row>
    <row r="639" spans="1:21" x14ac:dyDescent="0.35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  <c r="Q639" s="18">
        <f t="shared" si="45"/>
        <v>0.22480620155038761</v>
      </c>
      <c r="R639" s="18">
        <f t="shared" si="46"/>
        <v>0.14000000000000001</v>
      </c>
      <c r="S639" s="1" t="str">
        <f t="shared" si="47"/>
        <v>Medium</v>
      </c>
      <c r="T639" s="18">
        <f t="shared" si="48"/>
        <v>0.77519379844961245</v>
      </c>
      <c r="U639" s="1" t="str">
        <f t="shared" si="49"/>
        <v>Profitable ✅</v>
      </c>
    </row>
    <row r="640" spans="1:21" x14ac:dyDescent="0.35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  <c r="Q640" s="18">
        <f t="shared" si="45"/>
        <v>0.41860465116279072</v>
      </c>
      <c r="R640" s="18">
        <f t="shared" si="46"/>
        <v>0.14000000000000001</v>
      </c>
      <c r="S640" s="1" t="str">
        <f t="shared" si="47"/>
        <v>Small</v>
      </c>
      <c r="T640" s="18">
        <f t="shared" si="48"/>
        <v>0.58139534883720934</v>
      </c>
      <c r="U640" s="1" t="str">
        <f t="shared" si="49"/>
        <v>Profitable ✅</v>
      </c>
    </row>
    <row r="641" spans="1:21" x14ac:dyDescent="0.35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  <c r="Q641" s="18">
        <f t="shared" si="45"/>
        <v>0.22480620155038761</v>
      </c>
      <c r="R641" s="18">
        <f t="shared" si="46"/>
        <v>0.14000000000000001</v>
      </c>
      <c r="S641" s="1" t="str">
        <f t="shared" si="47"/>
        <v>Medium</v>
      </c>
      <c r="T641" s="18">
        <f t="shared" si="48"/>
        <v>0.77519379844961245</v>
      </c>
      <c r="U641" s="1" t="str">
        <f t="shared" si="49"/>
        <v>Profitable ✅</v>
      </c>
    </row>
    <row r="642" spans="1:21" x14ac:dyDescent="0.35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  <c r="Q642" s="18">
        <f t="shared" ref="Q642:Q701" si="50">IF(J642=0,0,L642/J642)</f>
        <v>0.22480620155038764</v>
      </c>
      <c r="R642" s="18">
        <f t="shared" ref="R642:R701" si="51">IF(H642=0,0, I642/H642)</f>
        <v>0.14000000000000001</v>
      </c>
      <c r="S642" s="1" t="str">
        <f t="shared" ref="S642:S701" si="52">IF(J642&lt;10000,"Small",IF(J642&lt;50000,"Medium",IF(J642&lt;200000,"Large","Enterprise")))</f>
        <v>Medium</v>
      </c>
      <c r="T642" s="18">
        <f t="shared" ref="T642:T701" si="53">IF(J642=0,0,K642/J642)</f>
        <v>0.77519379844961234</v>
      </c>
      <c r="U642" s="1" t="str">
        <f t="shared" ref="U642:U701" si="54">IFERROR(IF(L642&gt;0,"Profitable ✅",IF(L642=0,"Breakeven ⚖️","Loss ❌")),"Check Data 📊")</f>
        <v>Profitable ✅</v>
      </c>
    </row>
    <row r="643" spans="1:21" x14ac:dyDescent="0.35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  <c r="Q643" s="18">
        <f t="shared" si="50"/>
        <v>0.70930232558139539</v>
      </c>
      <c r="R643" s="18">
        <f t="shared" si="51"/>
        <v>0.14000000000000001</v>
      </c>
      <c r="S643" s="1" t="str">
        <f t="shared" si="52"/>
        <v>Medium</v>
      </c>
      <c r="T643" s="18">
        <f t="shared" si="53"/>
        <v>0.29069767441860467</v>
      </c>
      <c r="U643" s="1" t="str">
        <f t="shared" si="54"/>
        <v>Profitable ✅</v>
      </c>
    </row>
    <row r="644" spans="1:21" x14ac:dyDescent="0.35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  <c r="Q644" s="18">
        <f t="shared" si="50"/>
        <v>0.16943521594684377</v>
      </c>
      <c r="R644" s="18">
        <f t="shared" si="51"/>
        <v>0.14000000000000001</v>
      </c>
      <c r="S644" s="1" t="str">
        <f t="shared" si="52"/>
        <v>Medium</v>
      </c>
      <c r="T644" s="18">
        <f t="shared" si="53"/>
        <v>0.83056478405315626</v>
      </c>
      <c r="U644" s="1" t="str">
        <f t="shared" si="54"/>
        <v>Profitable ✅</v>
      </c>
    </row>
    <row r="645" spans="1:21" x14ac:dyDescent="0.35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  <c r="Q645" s="18">
        <f t="shared" si="50"/>
        <v>0.13621262458471761</v>
      </c>
      <c r="R645" s="18">
        <f t="shared" si="51"/>
        <v>0.14000000000000001</v>
      </c>
      <c r="S645" s="1" t="str">
        <f t="shared" si="52"/>
        <v>Enterprise</v>
      </c>
      <c r="T645" s="18">
        <f t="shared" si="53"/>
        <v>0.86378737541528239</v>
      </c>
      <c r="U645" s="1" t="str">
        <f t="shared" si="54"/>
        <v>Profitable ✅</v>
      </c>
    </row>
    <row r="646" spans="1:21" x14ac:dyDescent="0.35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  <c r="Q646" s="18">
        <f t="shared" si="50"/>
        <v>0.70930232558139539</v>
      </c>
      <c r="R646" s="18">
        <f t="shared" si="51"/>
        <v>0.14000000000000001</v>
      </c>
      <c r="S646" s="1" t="str">
        <f t="shared" si="52"/>
        <v>Medium</v>
      </c>
      <c r="T646" s="18">
        <f t="shared" si="53"/>
        <v>0.29069767441860461</v>
      </c>
      <c r="U646" s="1" t="str">
        <f t="shared" si="54"/>
        <v>Profitable ✅</v>
      </c>
    </row>
    <row r="647" spans="1:21" x14ac:dyDescent="0.35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  <c r="Q647" s="18">
        <f t="shared" si="50"/>
        <v>0.13621262458471761</v>
      </c>
      <c r="R647" s="18">
        <f t="shared" si="51"/>
        <v>0.14000000000000001</v>
      </c>
      <c r="S647" s="1" t="str">
        <f t="shared" si="52"/>
        <v>Enterprise</v>
      </c>
      <c r="T647" s="18">
        <f t="shared" si="53"/>
        <v>0.86378737541528239</v>
      </c>
      <c r="U647" s="1" t="str">
        <f t="shared" si="54"/>
        <v>Profitable ✅</v>
      </c>
    </row>
    <row r="648" spans="1:21" x14ac:dyDescent="0.35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  <c r="Q648" s="18">
        <f t="shared" si="50"/>
        <v>0.13621262458471761</v>
      </c>
      <c r="R648" s="18">
        <f t="shared" si="51"/>
        <v>0.14000000000000001</v>
      </c>
      <c r="S648" s="1" t="str">
        <f t="shared" si="52"/>
        <v>Enterprise</v>
      </c>
      <c r="T648" s="18">
        <f t="shared" si="53"/>
        <v>0.86378737541528239</v>
      </c>
      <c r="U648" s="1" t="str">
        <f t="shared" si="54"/>
        <v>Profitable ✅</v>
      </c>
    </row>
    <row r="649" spans="1:21" x14ac:dyDescent="0.35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  <c r="Q649" s="18">
        <f t="shared" si="50"/>
        <v>-0.11627906976744186</v>
      </c>
      <c r="R649" s="18">
        <f t="shared" si="51"/>
        <v>0.14000000000000001</v>
      </c>
      <c r="S649" s="1" t="str">
        <f t="shared" si="52"/>
        <v>Large</v>
      </c>
      <c r="T649" s="18">
        <f t="shared" si="53"/>
        <v>1.1162790697674418</v>
      </c>
      <c r="U649" s="1" t="str">
        <f t="shared" si="54"/>
        <v>Loss ❌</v>
      </c>
    </row>
    <row r="650" spans="1:21" x14ac:dyDescent="0.35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  <c r="Q650" s="18">
        <f t="shared" si="50"/>
        <v>0.41860465116279072</v>
      </c>
      <c r="R650" s="18">
        <f t="shared" si="51"/>
        <v>0.14000000000000001</v>
      </c>
      <c r="S650" s="1" t="str">
        <f t="shared" si="52"/>
        <v>Medium</v>
      </c>
      <c r="T650" s="18">
        <f t="shared" si="53"/>
        <v>0.58139534883720922</v>
      </c>
      <c r="U650" s="1" t="str">
        <f t="shared" si="54"/>
        <v>Profitable ✅</v>
      </c>
    </row>
    <row r="651" spans="1:21" x14ac:dyDescent="0.35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  <c r="Q651" s="18">
        <f t="shared" si="50"/>
        <v>3.1007751937984496E-2</v>
      </c>
      <c r="R651" s="18">
        <f t="shared" si="51"/>
        <v>0.14000000000000001</v>
      </c>
      <c r="S651" s="1" t="str">
        <f t="shared" si="52"/>
        <v>Enterprise</v>
      </c>
      <c r="T651" s="18">
        <f t="shared" si="53"/>
        <v>0.96899224806201545</v>
      </c>
      <c r="U651" s="1" t="str">
        <f t="shared" si="54"/>
        <v>Profitable ✅</v>
      </c>
    </row>
    <row r="652" spans="1:21" x14ac:dyDescent="0.35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  <c r="Q652" s="18">
        <f t="shared" si="50"/>
        <v>3.1007751937984496E-2</v>
      </c>
      <c r="R652" s="18">
        <f t="shared" si="51"/>
        <v>0.14000000000000001</v>
      </c>
      <c r="S652" s="1" t="str">
        <f t="shared" si="52"/>
        <v>Large</v>
      </c>
      <c r="T652" s="18">
        <f t="shared" si="53"/>
        <v>0.96899224806201545</v>
      </c>
      <c r="U652" s="1" t="str">
        <f t="shared" si="54"/>
        <v>Profitable ✅</v>
      </c>
    </row>
    <row r="653" spans="1:21" x14ac:dyDescent="0.35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  <c r="Q653" s="18">
        <f t="shared" si="50"/>
        <v>3.1007751937984496E-2</v>
      </c>
      <c r="R653" s="18">
        <f t="shared" si="51"/>
        <v>0.14000000000000001</v>
      </c>
      <c r="S653" s="1" t="str">
        <f t="shared" si="52"/>
        <v>Enterprise</v>
      </c>
      <c r="T653" s="18">
        <f t="shared" si="53"/>
        <v>0.96899224806201545</v>
      </c>
      <c r="U653" s="1" t="str">
        <f t="shared" si="54"/>
        <v>Profitable ✅</v>
      </c>
    </row>
    <row r="654" spans="1:21" x14ac:dyDescent="0.35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  <c r="Q654" s="18">
        <f t="shared" si="50"/>
        <v>0.16943521594684391</v>
      </c>
      <c r="R654" s="18">
        <f t="shared" si="51"/>
        <v>0.14000000000000001</v>
      </c>
      <c r="S654" s="1" t="str">
        <f t="shared" si="52"/>
        <v>Medium</v>
      </c>
      <c r="T654" s="18">
        <f t="shared" si="53"/>
        <v>0.83056478405315604</v>
      </c>
      <c r="U654" s="1" t="str">
        <f t="shared" si="54"/>
        <v>Profitable ✅</v>
      </c>
    </row>
    <row r="655" spans="1:21" x14ac:dyDescent="0.35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  <c r="Q655" s="18">
        <f t="shared" si="50"/>
        <v>3.1007751937984496E-2</v>
      </c>
      <c r="R655" s="18">
        <f t="shared" si="51"/>
        <v>0.14000000000000001</v>
      </c>
      <c r="S655" s="1" t="str">
        <f t="shared" si="52"/>
        <v>Enterprise</v>
      </c>
      <c r="T655" s="18">
        <f t="shared" si="53"/>
        <v>0.96899224806201545</v>
      </c>
      <c r="U655" s="1" t="str">
        <f t="shared" si="54"/>
        <v>Profitable ✅</v>
      </c>
    </row>
    <row r="656" spans="1:21" x14ac:dyDescent="0.35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  <c r="Q656" s="18">
        <f t="shared" si="50"/>
        <v>3.1007751937984496E-2</v>
      </c>
      <c r="R656" s="18">
        <f t="shared" si="51"/>
        <v>0.14000000000000001</v>
      </c>
      <c r="S656" s="1" t="str">
        <f t="shared" si="52"/>
        <v>Large</v>
      </c>
      <c r="T656" s="18">
        <f t="shared" si="53"/>
        <v>0.96899224806201545</v>
      </c>
      <c r="U656" s="1" t="str">
        <f t="shared" si="54"/>
        <v>Profitable ✅</v>
      </c>
    </row>
    <row r="657" spans="1:21" x14ac:dyDescent="0.35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  <c r="Q657" s="18">
        <f t="shared" si="50"/>
        <v>3.1007751937984496E-2</v>
      </c>
      <c r="R657" s="18">
        <f t="shared" si="51"/>
        <v>0.14000000000000001</v>
      </c>
      <c r="S657" s="1" t="str">
        <f t="shared" si="52"/>
        <v>Enterprise</v>
      </c>
      <c r="T657" s="18">
        <f t="shared" si="53"/>
        <v>0.96899224806201545</v>
      </c>
      <c r="U657" s="1" t="str">
        <f t="shared" si="54"/>
        <v>Profitable ✅</v>
      </c>
    </row>
    <row r="658" spans="1:21" x14ac:dyDescent="0.35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  <c r="Q658" s="18">
        <f t="shared" si="50"/>
        <v>3.1007751937984496E-2</v>
      </c>
      <c r="R658" s="18">
        <f t="shared" si="51"/>
        <v>0.14000000000000001</v>
      </c>
      <c r="S658" s="1" t="str">
        <f t="shared" si="52"/>
        <v>Enterprise</v>
      </c>
      <c r="T658" s="18">
        <f t="shared" si="53"/>
        <v>0.96899224806201545</v>
      </c>
      <c r="U658" s="1" t="str">
        <f t="shared" si="54"/>
        <v>Profitable ✅</v>
      </c>
    </row>
    <row r="659" spans="1:21" x14ac:dyDescent="0.35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  <c r="Q659" s="18">
        <f t="shared" si="50"/>
        <v>0.13621262458471761</v>
      </c>
      <c r="R659" s="18">
        <f t="shared" si="51"/>
        <v>0.14000000000000001</v>
      </c>
      <c r="S659" s="1" t="str">
        <f t="shared" si="52"/>
        <v>Enterprise</v>
      </c>
      <c r="T659" s="18">
        <f t="shared" si="53"/>
        <v>0.86378737541528239</v>
      </c>
      <c r="U659" s="1" t="str">
        <f t="shared" si="54"/>
        <v>Profitable ✅</v>
      </c>
    </row>
    <row r="660" spans="1:21" x14ac:dyDescent="0.35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  <c r="Q660" s="18">
        <f t="shared" si="50"/>
        <v>3.1007751937984496E-2</v>
      </c>
      <c r="R660" s="18">
        <f t="shared" si="51"/>
        <v>0.14000000000000001</v>
      </c>
      <c r="S660" s="1" t="str">
        <f t="shared" si="52"/>
        <v>Enterprise</v>
      </c>
      <c r="T660" s="18">
        <f t="shared" si="53"/>
        <v>0.96899224806201545</v>
      </c>
      <c r="U660" s="1" t="str">
        <f t="shared" si="54"/>
        <v>Profitable ✅</v>
      </c>
    </row>
    <row r="661" spans="1:21" x14ac:dyDescent="0.35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  <c r="Q661" s="18">
        <f t="shared" si="50"/>
        <v>-0.11627906976744186</v>
      </c>
      <c r="R661" s="18">
        <f t="shared" si="51"/>
        <v>0.14000000000000001</v>
      </c>
      <c r="S661" s="1" t="str">
        <f t="shared" si="52"/>
        <v>Enterprise</v>
      </c>
      <c r="T661" s="18">
        <f t="shared" si="53"/>
        <v>1.1162790697674418</v>
      </c>
      <c r="U661" s="1" t="str">
        <f t="shared" si="54"/>
        <v>Loss ❌</v>
      </c>
    </row>
    <row r="662" spans="1:21" x14ac:dyDescent="0.35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  <c r="Q662" s="18">
        <f t="shared" si="50"/>
        <v>0.70930232558139539</v>
      </c>
      <c r="R662" s="18">
        <f t="shared" si="51"/>
        <v>0.14000000000000001</v>
      </c>
      <c r="S662" s="1" t="str">
        <f t="shared" si="52"/>
        <v>Medium</v>
      </c>
      <c r="T662" s="18">
        <f t="shared" si="53"/>
        <v>0.29069767441860467</v>
      </c>
      <c r="U662" s="1" t="str">
        <f t="shared" si="54"/>
        <v>Profitable ✅</v>
      </c>
    </row>
    <row r="663" spans="1:21" x14ac:dyDescent="0.35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  <c r="Q663" s="18">
        <f t="shared" si="50"/>
        <v>0.22480620155038764</v>
      </c>
      <c r="R663" s="18">
        <f t="shared" si="51"/>
        <v>0.14000000000000001</v>
      </c>
      <c r="S663" s="1" t="str">
        <f t="shared" si="52"/>
        <v>Medium</v>
      </c>
      <c r="T663" s="18">
        <f t="shared" si="53"/>
        <v>0.77519379844961234</v>
      </c>
      <c r="U663" s="1" t="str">
        <f t="shared" si="54"/>
        <v>Profitable ✅</v>
      </c>
    </row>
    <row r="664" spans="1:21" x14ac:dyDescent="0.35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  <c r="Q664" s="18">
        <f t="shared" si="50"/>
        <v>0.70930232558139539</v>
      </c>
      <c r="R664" s="18">
        <f t="shared" si="51"/>
        <v>0.14000000000000001</v>
      </c>
      <c r="S664" s="1" t="str">
        <f t="shared" si="52"/>
        <v>Medium</v>
      </c>
      <c r="T664" s="18">
        <f t="shared" si="53"/>
        <v>0.29069767441860467</v>
      </c>
      <c r="U664" s="1" t="str">
        <f t="shared" si="54"/>
        <v>Profitable ✅</v>
      </c>
    </row>
    <row r="665" spans="1:21" x14ac:dyDescent="0.35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  <c r="Q665" s="18">
        <f t="shared" si="50"/>
        <v>0.16943521594684377</v>
      </c>
      <c r="R665" s="18">
        <f t="shared" si="51"/>
        <v>0.14000000000000001</v>
      </c>
      <c r="S665" s="1" t="str">
        <f t="shared" si="52"/>
        <v>Medium</v>
      </c>
      <c r="T665" s="18">
        <f t="shared" si="53"/>
        <v>0.83056478405315626</v>
      </c>
      <c r="U665" s="1" t="str">
        <f t="shared" si="54"/>
        <v>Profitable ✅</v>
      </c>
    </row>
    <row r="666" spans="1:21" x14ac:dyDescent="0.35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  <c r="Q666" s="18">
        <f t="shared" si="50"/>
        <v>0.16943521594684394</v>
      </c>
      <c r="R666" s="18">
        <f t="shared" si="51"/>
        <v>0.14000000000000001</v>
      </c>
      <c r="S666" s="1" t="str">
        <f t="shared" si="52"/>
        <v>Medium</v>
      </c>
      <c r="T666" s="18">
        <f t="shared" si="53"/>
        <v>0.83056478405315604</v>
      </c>
      <c r="U666" s="1" t="str">
        <f t="shared" si="54"/>
        <v>Profitable ✅</v>
      </c>
    </row>
    <row r="667" spans="1:21" x14ac:dyDescent="0.35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  <c r="Q667" s="18">
        <f t="shared" si="50"/>
        <v>0.22480620155038761</v>
      </c>
      <c r="R667" s="18">
        <f t="shared" si="51"/>
        <v>0.14000000000000001</v>
      </c>
      <c r="S667" s="1" t="str">
        <f t="shared" si="52"/>
        <v>Medium</v>
      </c>
      <c r="T667" s="18">
        <f t="shared" si="53"/>
        <v>0.77519379844961245</v>
      </c>
      <c r="U667" s="1" t="str">
        <f t="shared" si="54"/>
        <v>Profitable ✅</v>
      </c>
    </row>
    <row r="668" spans="1:21" x14ac:dyDescent="0.35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  <c r="Q668" s="18">
        <f t="shared" si="50"/>
        <v>-0.12941176470588237</v>
      </c>
      <c r="R668" s="18">
        <f t="shared" si="51"/>
        <v>0.15</v>
      </c>
      <c r="S668" s="1" t="str">
        <f t="shared" si="52"/>
        <v>Large</v>
      </c>
      <c r="T668" s="18">
        <f t="shared" si="53"/>
        <v>1.1294117647058823</v>
      </c>
      <c r="U668" s="1" t="str">
        <f t="shared" si="54"/>
        <v>Loss ❌</v>
      </c>
    </row>
    <row r="669" spans="1:21" x14ac:dyDescent="0.35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  <c r="Q669" s="18">
        <f t="shared" si="50"/>
        <v>-0.12941176470588237</v>
      </c>
      <c r="R669" s="18">
        <f t="shared" si="51"/>
        <v>0.15</v>
      </c>
      <c r="S669" s="1" t="str">
        <f t="shared" si="52"/>
        <v>Enterprise</v>
      </c>
      <c r="T669" s="18">
        <f t="shared" si="53"/>
        <v>1.1294117647058823</v>
      </c>
      <c r="U669" s="1" t="str">
        <f t="shared" si="54"/>
        <v>Loss ❌</v>
      </c>
    </row>
    <row r="670" spans="1:21" x14ac:dyDescent="0.35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  <c r="Q670" s="18">
        <f t="shared" si="50"/>
        <v>-0.12941176470588237</v>
      </c>
      <c r="R670" s="18">
        <f t="shared" si="51"/>
        <v>0.15</v>
      </c>
      <c r="S670" s="1" t="str">
        <f t="shared" si="52"/>
        <v>Large</v>
      </c>
      <c r="T670" s="18">
        <f t="shared" si="53"/>
        <v>1.1294117647058823</v>
      </c>
      <c r="U670" s="1" t="str">
        <f t="shared" si="54"/>
        <v>Loss ❌</v>
      </c>
    </row>
    <row r="671" spans="1:21" x14ac:dyDescent="0.35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  <c r="Q671" s="18">
        <f t="shared" si="50"/>
        <v>1.9607843137254902E-2</v>
      </c>
      <c r="R671" s="18">
        <f t="shared" si="51"/>
        <v>0.15</v>
      </c>
      <c r="S671" s="1" t="str">
        <f t="shared" si="52"/>
        <v>Large</v>
      </c>
      <c r="T671" s="18">
        <f t="shared" si="53"/>
        <v>0.98039215686274506</v>
      </c>
      <c r="U671" s="1" t="str">
        <f t="shared" si="54"/>
        <v>Profitable ✅</v>
      </c>
    </row>
    <row r="672" spans="1:21" x14ac:dyDescent="0.35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  <c r="Q672" s="18">
        <f t="shared" si="50"/>
        <v>0.41176470588235292</v>
      </c>
      <c r="R672" s="18">
        <f t="shared" si="51"/>
        <v>0.15</v>
      </c>
      <c r="S672" s="1" t="str">
        <f t="shared" si="52"/>
        <v>Medium</v>
      </c>
      <c r="T672" s="18">
        <f t="shared" si="53"/>
        <v>0.58823529411764708</v>
      </c>
      <c r="U672" s="1" t="str">
        <f t="shared" si="54"/>
        <v>Profitable ✅</v>
      </c>
    </row>
    <row r="673" spans="1:21" x14ac:dyDescent="0.35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  <c r="Q673" s="18">
        <f t="shared" si="50"/>
        <v>0.21568627450980393</v>
      </c>
      <c r="R673" s="18">
        <f t="shared" si="51"/>
        <v>0.15</v>
      </c>
      <c r="S673" s="1" t="str">
        <f t="shared" si="52"/>
        <v>Medium</v>
      </c>
      <c r="T673" s="18">
        <f t="shared" si="53"/>
        <v>0.78431372549019607</v>
      </c>
      <c r="U673" s="1" t="str">
        <f t="shared" si="54"/>
        <v>Profitable ✅</v>
      </c>
    </row>
    <row r="674" spans="1:21" x14ac:dyDescent="0.35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  <c r="Q674" s="18">
        <f t="shared" si="50"/>
        <v>0.15966386554621848</v>
      </c>
      <c r="R674" s="18">
        <f t="shared" si="51"/>
        <v>0.15</v>
      </c>
      <c r="S674" s="1" t="str">
        <f t="shared" si="52"/>
        <v>Medium</v>
      </c>
      <c r="T674" s="18">
        <f t="shared" si="53"/>
        <v>0.84033613445378152</v>
      </c>
      <c r="U674" s="1" t="str">
        <f t="shared" si="54"/>
        <v>Profitable ✅</v>
      </c>
    </row>
    <row r="675" spans="1:21" x14ac:dyDescent="0.35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  <c r="Q675" s="18">
        <f t="shared" si="50"/>
        <v>0.12605042016806722</v>
      </c>
      <c r="R675" s="18">
        <f t="shared" si="51"/>
        <v>0.15</v>
      </c>
      <c r="S675" s="1" t="str">
        <f t="shared" si="52"/>
        <v>Enterprise</v>
      </c>
      <c r="T675" s="18">
        <f t="shared" si="53"/>
        <v>0.87394957983193278</v>
      </c>
      <c r="U675" s="1" t="str">
        <f t="shared" si="54"/>
        <v>Profitable ✅</v>
      </c>
    </row>
    <row r="676" spans="1:21" x14ac:dyDescent="0.35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  <c r="Q676" s="18">
        <f t="shared" si="50"/>
        <v>0.21568627450980393</v>
      </c>
      <c r="R676" s="18">
        <f t="shared" si="51"/>
        <v>0.15</v>
      </c>
      <c r="S676" s="1" t="str">
        <f t="shared" si="52"/>
        <v>Medium</v>
      </c>
      <c r="T676" s="18">
        <f t="shared" si="53"/>
        <v>0.78431372549019607</v>
      </c>
      <c r="U676" s="1" t="str">
        <f t="shared" si="54"/>
        <v>Profitable ✅</v>
      </c>
    </row>
    <row r="677" spans="1:21" x14ac:dyDescent="0.35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  <c r="Q677" s="18">
        <f t="shared" si="50"/>
        <v>0.41176470588235292</v>
      </c>
      <c r="R677" s="18">
        <f t="shared" si="51"/>
        <v>0.15</v>
      </c>
      <c r="S677" s="1" t="str">
        <f t="shared" si="52"/>
        <v>Small</v>
      </c>
      <c r="T677" s="18">
        <f t="shared" si="53"/>
        <v>0.58823529411764708</v>
      </c>
      <c r="U677" s="1" t="str">
        <f t="shared" si="54"/>
        <v>Profitable ✅</v>
      </c>
    </row>
    <row r="678" spans="1:21" x14ac:dyDescent="0.35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  <c r="Q678" s="18">
        <f t="shared" si="50"/>
        <v>-0.12941176470588237</v>
      </c>
      <c r="R678" s="18">
        <f t="shared" si="51"/>
        <v>0.15</v>
      </c>
      <c r="S678" s="1" t="str">
        <f t="shared" si="52"/>
        <v>Large</v>
      </c>
      <c r="T678" s="18">
        <f t="shared" si="53"/>
        <v>1.1294117647058823</v>
      </c>
      <c r="U678" s="1" t="str">
        <f t="shared" si="54"/>
        <v>Loss ❌</v>
      </c>
    </row>
    <row r="679" spans="1:21" x14ac:dyDescent="0.35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  <c r="Q679" s="18">
        <f t="shared" si="50"/>
        <v>0.21568627450980393</v>
      </c>
      <c r="R679" s="18">
        <f t="shared" si="51"/>
        <v>0.15</v>
      </c>
      <c r="S679" s="1" t="str">
        <f t="shared" si="52"/>
        <v>Medium</v>
      </c>
      <c r="T679" s="18">
        <f t="shared" si="53"/>
        <v>0.78431372549019607</v>
      </c>
      <c r="U679" s="1" t="str">
        <f t="shared" si="54"/>
        <v>Profitable ✅</v>
      </c>
    </row>
    <row r="680" spans="1:21" x14ac:dyDescent="0.35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  <c r="Q680" s="18">
        <f t="shared" si="50"/>
        <v>0.12605042016806722</v>
      </c>
      <c r="R680" s="18">
        <f t="shared" si="51"/>
        <v>0.15</v>
      </c>
      <c r="S680" s="1" t="str">
        <f t="shared" si="52"/>
        <v>Enterprise</v>
      </c>
      <c r="T680" s="18">
        <f t="shared" si="53"/>
        <v>0.87394957983193278</v>
      </c>
      <c r="U680" s="1" t="str">
        <f t="shared" si="54"/>
        <v>Profitable ✅</v>
      </c>
    </row>
    <row r="681" spans="1:21" x14ac:dyDescent="0.35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  <c r="Q681" s="18">
        <f t="shared" si="50"/>
        <v>0.12605042016806722</v>
      </c>
      <c r="R681" s="18">
        <f t="shared" si="51"/>
        <v>0.15</v>
      </c>
      <c r="S681" s="1" t="str">
        <f t="shared" si="52"/>
        <v>Enterprise</v>
      </c>
      <c r="T681" s="18">
        <f t="shared" si="53"/>
        <v>0.87394957983193278</v>
      </c>
      <c r="U681" s="1" t="str">
        <f t="shared" si="54"/>
        <v>Profitable ✅</v>
      </c>
    </row>
    <row r="682" spans="1:21" x14ac:dyDescent="0.35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  <c r="Q682" s="18">
        <f t="shared" si="50"/>
        <v>0.70588235294117641</v>
      </c>
      <c r="R682" s="18">
        <f t="shared" si="51"/>
        <v>0.15</v>
      </c>
      <c r="S682" s="1" t="str">
        <f t="shared" si="52"/>
        <v>Small</v>
      </c>
      <c r="T682" s="18">
        <f t="shared" si="53"/>
        <v>0.29411764705882354</v>
      </c>
      <c r="U682" s="1" t="str">
        <f t="shared" si="54"/>
        <v>Profitable ✅</v>
      </c>
    </row>
    <row r="683" spans="1:21" x14ac:dyDescent="0.35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  <c r="Q683" s="18">
        <f t="shared" si="50"/>
        <v>0.41176470588235292</v>
      </c>
      <c r="R683" s="18">
        <f t="shared" si="51"/>
        <v>0.15</v>
      </c>
      <c r="S683" s="1" t="str">
        <f t="shared" si="52"/>
        <v>Small</v>
      </c>
      <c r="T683" s="18">
        <f t="shared" si="53"/>
        <v>0.58823529411764708</v>
      </c>
      <c r="U683" s="1" t="str">
        <f t="shared" si="54"/>
        <v>Profitable ✅</v>
      </c>
    </row>
    <row r="684" spans="1:21" x14ac:dyDescent="0.35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  <c r="Q684" s="18">
        <f t="shared" si="50"/>
        <v>0.70588235294117652</v>
      </c>
      <c r="R684" s="18">
        <f t="shared" si="51"/>
        <v>0.15</v>
      </c>
      <c r="S684" s="1" t="str">
        <f t="shared" si="52"/>
        <v>Small</v>
      </c>
      <c r="T684" s="18">
        <f t="shared" si="53"/>
        <v>0.29411764705882354</v>
      </c>
      <c r="U684" s="1" t="str">
        <f t="shared" si="54"/>
        <v>Profitable ✅</v>
      </c>
    </row>
    <row r="685" spans="1:21" x14ac:dyDescent="0.35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  <c r="Q685" s="18">
        <f t="shared" si="50"/>
        <v>0.21568627450980393</v>
      </c>
      <c r="R685" s="18">
        <f t="shared" si="51"/>
        <v>0.15</v>
      </c>
      <c r="S685" s="1" t="str">
        <f t="shared" si="52"/>
        <v>Medium</v>
      </c>
      <c r="T685" s="18">
        <f t="shared" si="53"/>
        <v>0.78431372549019607</v>
      </c>
      <c r="U685" s="1" t="str">
        <f t="shared" si="54"/>
        <v>Profitable ✅</v>
      </c>
    </row>
    <row r="686" spans="1:21" x14ac:dyDescent="0.35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  <c r="Q686" s="18">
        <f t="shared" si="50"/>
        <v>-0.12941176470588237</v>
      </c>
      <c r="R686" s="18">
        <f t="shared" si="51"/>
        <v>0.15</v>
      </c>
      <c r="S686" s="1" t="str">
        <f t="shared" si="52"/>
        <v>Large</v>
      </c>
      <c r="T686" s="18">
        <f t="shared" si="53"/>
        <v>1.1294117647058823</v>
      </c>
      <c r="U686" s="1" t="str">
        <f t="shared" si="54"/>
        <v>Loss ❌</v>
      </c>
    </row>
    <row r="687" spans="1:21" x14ac:dyDescent="0.35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  <c r="Q687" s="18">
        <f t="shared" si="50"/>
        <v>1.9607843137254902E-2</v>
      </c>
      <c r="R687" s="18">
        <f t="shared" si="51"/>
        <v>0.15</v>
      </c>
      <c r="S687" s="1" t="str">
        <f t="shared" si="52"/>
        <v>Enterprise</v>
      </c>
      <c r="T687" s="18">
        <f t="shared" si="53"/>
        <v>0.98039215686274506</v>
      </c>
      <c r="U687" s="1" t="str">
        <f t="shared" si="54"/>
        <v>Profitable ✅</v>
      </c>
    </row>
    <row r="688" spans="1:21" x14ac:dyDescent="0.35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  <c r="Q688" s="18">
        <f t="shared" si="50"/>
        <v>-0.12941176470588237</v>
      </c>
      <c r="R688" s="18">
        <f t="shared" si="51"/>
        <v>0.15</v>
      </c>
      <c r="S688" s="1" t="str">
        <f t="shared" si="52"/>
        <v>Enterprise</v>
      </c>
      <c r="T688" s="18">
        <f t="shared" si="53"/>
        <v>1.1294117647058823</v>
      </c>
      <c r="U688" s="1" t="str">
        <f t="shared" si="54"/>
        <v>Loss ❌</v>
      </c>
    </row>
    <row r="689" spans="1:21" x14ac:dyDescent="0.35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  <c r="Q689" s="18">
        <f t="shared" si="50"/>
        <v>0.70588235294117641</v>
      </c>
      <c r="R689" s="18">
        <f t="shared" si="51"/>
        <v>0.15</v>
      </c>
      <c r="S689" s="1" t="str">
        <f t="shared" si="52"/>
        <v>Small</v>
      </c>
      <c r="T689" s="18">
        <f t="shared" si="53"/>
        <v>0.29411764705882354</v>
      </c>
      <c r="U689" s="1" t="str">
        <f t="shared" si="54"/>
        <v>Profitable ✅</v>
      </c>
    </row>
    <row r="690" spans="1:21" x14ac:dyDescent="0.35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  <c r="Q690" s="18">
        <f t="shared" si="50"/>
        <v>0.41176470588235292</v>
      </c>
      <c r="R690" s="18">
        <f t="shared" si="51"/>
        <v>0.15</v>
      </c>
      <c r="S690" s="1" t="str">
        <f t="shared" si="52"/>
        <v>Medium</v>
      </c>
      <c r="T690" s="18">
        <f t="shared" si="53"/>
        <v>0.58823529411764708</v>
      </c>
      <c r="U690" s="1" t="str">
        <f t="shared" si="54"/>
        <v>Profitable ✅</v>
      </c>
    </row>
    <row r="691" spans="1:21" x14ac:dyDescent="0.35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  <c r="Q691" s="18">
        <f t="shared" si="50"/>
        <v>0.21568627450980393</v>
      </c>
      <c r="R691" s="18">
        <f t="shared" si="51"/>
        <v>0.15</v>
      </c>
      <c r="S691" s="1" t="str">
        <f t="shared" si="52"/>
        <v>Small</v>
      </c>
      <c r="T691" s="18">
        <f t="shared" si="53"/>
        <v>0.78431372549019607</v>
      </c>
      <c r="U691" s="1" t="str">
        <f t="shared" si="54"/>
        <v>Profitable ✅</v>
      </c>
    </row>
    <row r="692" spans="1:21" x14ac:dyDescent="0.35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  <c r="Q692" s="18">
        <f t="shared" si="50"/>
        <v>0.41176470588235292</v>
      </c>
      <c r="R692" s="18">
        <f t="shared" si="51"/>
        <v>0.15</v>
      </c>
      <c r="S692" s="1" t="str">
        <f t="shared" si="52"/>
        <v>Small</v>
      </c>
      <c r="T692" s="18">
        <f t="shared" si="53"/>
        <v>0.58823529411764708</v>
      </c>
      <c r="U692" s="1" t="str">
        <f t="shared" si="54"/>
        <v>Profitable ✅</v>
      </c>
    </row>
    <row r="693" spans="1:21" x14ac:dyDescent="0.35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  <c r="Q693" s="18">
        <f t="shared" si="50"/>
        <v>0.21568627450980393</v>
      </c>
      <c r="R693" s="18">
        <f t="shared" si="51"/>
        <v>0.15</v>
      </c>
      <c r="S693" s="1" t="str">
        <f t="shared" si="52"/>
        <v>Medium</v>
      </c>
      <c r="T693" s="18">
        <f t="shared" si="53"/>
        <v>0.78431372549019607</v>
      </c>
      <c r="U693" s="1" t="str">
        <f t="shared" si="54"/>
        <v>Profitable ✅</v>
      </c>
    </row>
    <row r="694" spans="1:21" x14ac:dyDescent="0.35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  <c r="Q694" s="18">
        <f t="shared" si="50"/>
        <v>-0.12941176470588237</v>
      </c>
      <c r="R694" s="18">
        <f t="shared" si="51"/>
        <v>0.15</v>
      </c>
      <c r="S694" s="1" t="str">
        <f t="shared" si="52"/>
        <v>Enterprise</v>
      </c>
      <c r="T694" s="18">
        <f t="shared" si="53"/>
        <v>1.1294117647058823</v>
      </c>
      <c r="U694" s="1" t="str">
        <f t="shared" si="54"/>
        <v>Loss ❌</v>
      </c>
    </row>
    <row r="695" spans="1:21" x14ac:dyDescent="0.35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  <c r="Q695" s="18">
        <f t="shared" si="50"/>
        <v>-0.12941176470588237</v>
      </c>
      <c r="R695" s="18">
        <f t="shared" si="51"/>
        <v>0.15</v>
      </c>
      <c r="S695" s="1" t="str">
        <f t="shared" si="52"/>
        <v>Large</v>
      </c>
      <c r="T695" s="18">
        <f t="shared" si="53"/>
        <v>1.1294117647058823</v>
      </c>
      <c r="U695" s="1" t="str">
        <f t="shared" si="54"/>
        <v>Loss ❌</v>
      </c>
    </row>
    <row r="696" spans="1:21" x14ac:dyDescent="0.35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  <c r="Q696" s="18">
        <f t="shared" si="50"/>
        <v>0.41176470588235292</v>
      </c>
      <c r="R696" s="18">
        <f t="shared" si="51"/>
        <v>0.15</v>
      </c>
      <c r="S696" s="1" t="str">
        <f t="shared" si="52"/>
        <v>Small</v>
      </c>
      <c r="T696" s="18">
        <f t="shared" si="53"/>
        <v>0.58823529411764708</v>
      </c>
      <c r="U696" s="1" t="str">
        <f t="shared" si="54"/>
        <v>Profitable ✅</v>
      </c>
    </row>
    <row r="697" spans="1:21" x14ac:dyDescent="0.35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  <c r="Q697" s="18">
        <f t="shared" si="50"/>
        <v>1.9607843137254902E-2</v>
      </c>
      <c r="R697" s="18">
        <f t="shared" si="51"/>
        <v>0.15</v>
      </c>
      <c r="S697" s="1" t="str">
        <f t="shared" si="52"/>
        <v>Enterprise</v>
      </c>
      <c r="T697" s="18">
        <f t="shared" si="53"/>
        <v>0.98039215686274506</v>
      </c>
      <c r="U697" s="1" t="str">
        <f t="shared" si="54"/>
        <v>Profitable ✅</v>
      </c>
    </row>
    <row r="698" spans="1:21" x14ac:dyDescent="0.35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  <c r="Q698" s="18">
        <f t="shared" si="50"/>
        <v>1.9607843137254902E-2</v>
      </c>
      <c r="R698" s="18">
        <f t="shared" si="51"/>
        <v>0.15</v>
      </c>
      <c r="S698" s="1" t="str">
        <f t="shared" si="52"/>
        <v>Large</v>
      </c>
      <c r="T698" s="18">
        <f t="shared" si="53"/>
        <v>0.98039215686274506</v>
      </c>
      <c r="U698" s="1" t="str">
        <f t="shared" si="54"/>
        <v>Profitable ✅</v>
      </c>
    </row>
    <row r="699" spans="1:21" x14ac:dyDescent="0.35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  <c r="Q699" s="18">
        <f t="shared" si="50"/>
        <v>0.15966386554621853</v>
      </c>
      <c r="R699" s="18">
        <f t="shared" si="51"/>
        <v>0.15000000000000002</v>
      </c>
      <c r="S699" s="1" t="str">
        <f t="shared" si="52"/>
        <v>Small</v>
      </c>
      <c r="T699" s="18">
        <f t="shared" si="53"/>
        <v>0.84033613445378152</v>
      </c>
      <c r="U699" s="1" t="str">
        <f t="shared" si="54"/>
        <v>Profitable ✅</v>
      </c>
    </row>
    <row r="700" spans="1:21" x14ac:dyDescent="0.35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  <c r="Q700" s="18">
        <f t="shared" si="50"/>
        <v>0.1596638655462185</v>
      </c>
      <c r="R700" s="18">
        <f t="shared" si="51"/>
        <v>0.15000000000000002</v>
      </c>
      <c r="S700" s="1" t="str">
        <f t="shared" si="52"/>
        <v>Small</v>
      </c>
      <c r="T700" s="18">
        <f t="shared" si="53"/>
        <v>0.84033613445378141</v>
      </c>
      <c r="U700" s="1" t="str">
        <f t="shared" si="54"/>
        <v>Profitable ✅</v>
      </c>
    </row>
    <row r="701" spans="1:21" x14ac:dyDescent="0.35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  <c r="Q701" s="18">
        <f t="shared" si="50"/>
        <v>0.70588235294117652</v>
      </c>
      <c r="R701" s="18">
        <f t="shared" si="51"/>
        <v>0.15000000000000002</v>
      </c>
      <c r="S701" s="1" t="str">
        <f t="shared" si="52"/>
        <v>Medium</v>
      </c>
      <c r="T701" s="18">
        <f t="shared" si="53"/>
        <v>0.29411764705882354</v>
      </c>
      <c r="U701" s="1" t="str">
        <f t="shared" si="54"/>
        <v>Profitable ✅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30301-4E4C-4394-81FB-B774BB0D0C92}">
  <sheetPr>
    <tabColor rgb="FFC00000"/>
  </sheetPr>
  <dimension ref="B2:H49"/>
  <sheetViews>
    <sheetView topLeftCell="A34" zoomScaleNormal="100" workbookViewId="0">
      <selection activeCell="D47" sqref="D47"/>
    </sheetView>
  </sheetViews>
  <sheetFormatPr defaultRowHeight="14.5" x14ac:dyDescent="0.35"/>
  <cols>
    <col min="1" max="1" width="3.6328125" customWidth="1"/>
    <col min="2" max="2" width="28.6328125" customWidth="1"/>
    <col min="3" max="3" width="32.6328125" customWidth="1"/>
    <col min="4" max="4" width="18.6328125" customWidth="1"/>
    <col min="5" max="5" width="14.6328125" customWidth="1"/>
    <col min="6" max="6" width="15.36328125" customWidth="1"/>
    <col min="7" max="7" width="14" customWidth="1"/>
    <col min="8" max="8" width="15.90625" customWidth="1"/>
  </cols>
  <sheetData>
    <row r="2" spans="2:8" s="20" customFormat="1" ht="24" customHeight="1" x14ac:dyDescent="0.35">
      <c r="B2" s="122" t="s">
        <v>56</v>
      </c>
      <c r="C2" s="122"/>
      <c r="D2" s="122"/>
      <c r="E2" s="122"/>
      <c r="F2" s="122"/>
      <c r="G2" s="122"/>
      <c r="H2" s="122"/>
    </row>
    <row r="3" spans="2:8" ht="16.5" x14ac:dyDescent="0.35">
      <c r="B3" s="70" t="s">
        <v>57</v>
      </c>
      <c r="C3" s="70" t="s">
        <v>58</v>
      </c>
      <c r="D3" s="70" t="s">
        <v>59</v>
      </c>
      <c r="E3" s="126" t="s">
        <v>60</v>
      </c>
      <c r="F3" s="126"/>
      <c r="G3" s="126"/>
      <c r="H3" s="126"/>
    </row>
    <row r="4" spans="2:8" x14ac:dyDescent="0.35">
      <c r="B4" s="26" t="s">
        <v>61</v>
      </c>
      <c r="C4" s="27" t="s">
        <v>62</v>
      </c>
      <c r="D4" s="28">
        <f>SUM(CLEANED_DATA!H2:H701)</f>
        <v>127931598.5</v>
      </c>
      <c r="E4" s="124" t="s">
        <v>63</v>
      </c>
      <c r="F4" s="124"/>
      <c r="G4" s="124"/>
      <c r="H4" s="124"/>
    </row>
    <row r="5" spans="2:8" x14ac:dyDescent="0.35">
      <c r="B5" s="22" t="s">
        <v>64</v>
      </c>
      <c r="C5" s="23" t="s">
        <v>65</v>
      </c>
      <c r="D5" s="24">
        <f>SUM(CLEANED_DATA!I2:I701)</f>
        <v>9205248.2400000021</v>
      </c>
      <c r="E5" s="125" t="s">
        <v>66</v>
      </c>
      <c r="F5" s="125"/>
      <c r="G5" s="125"/>
      <c r="H5" s="125"/>
    </row>
    <row r="6" spans="2:8" x14ac:dyDescent="0.35">
      <c r="B6" s="26" t="s">
        <v>67</v>
      </c>
      <c r="C6" s="27" t="s">
        <v>68</v>
      </c>
      <c r="D6" s="28">
        <f>SUM(CLEANED_DATA!J2:J701)</f>
        <v>118726350.25999992</v>
      </c>
      <c r="E6" s="124" t="s">
        <v>69</v>
      </c>
      <c r="F6" s="124"/>
      <c r="G6" s="124"/>
      <c r="H6" s="124"/>
    </row>
    <row r="7" spans="2:8" x14ac:dyDescent="0.35">
      <c r="B7" s="22" t="s">
        <v>70</v>
      </c>
      <c r="C7" s="23" t="s">
        <v>71</v>
      </c>
      <c r="D7" s="24">
        <f>SUM(CLEANED_DATA!K2:K701)</f>
        <v>101832648</v>
      </c>
      <c r="E7" s="125" t="s">
        <v>72</v>
      </c>
      <c r="F7" s="125"/>
      <c r="G7" s="125"/>
      <c r="H7" s="125"/>
    </row>
    <row r="8" spans="2:8" x14ac:dyDescent="0.35">
      <c r="B8" s="26" t="s">
        <v>73</v>
      </c>
      <c r="C8" s="27" t="s">
        <v>74</v>
      </c>
      <c r="D8" s="28">
        <f>SUM(CLEANED_DATA!L2:L701)</f>
        <v>16893702.260000009</v>
      </c>
      <c r="E8" s="124" t="s">
        <v>75</v>
      </c>
      <c r="F8" s="124"/>
      <c r="G8" s="124"/>
      <c r="H8" s="124"/>
    </row>
    <row r="9" spans="2:8" x14ac:dyDescent="0.35">
      <c r="B9" s="22" t="s">
        <v>76</v>
      </c>
      <c r="C9" s="23" t="s">
        <v>77</v>
      </c>
      <c r="D9" s="25">
        <f>IF(D6=0,0, D8/D6)</f>
        <v>0.14229109395685402</v>
      </c>
      <c r="E9" s="125" t="s">
        <v>78</v>
      </c>
      <c r="F9" s="125"/>
      <c r="G9" s="125"/>
      <c r="H9" s="125"/>
    </row>
    <row r="10" spans="2:8" x14ac:dyDescent="0.35">
      <c r="B10" s="26" t="s">
        <v>79</v>
      </c>
      <c r="C10" s="27" t="s">
        <v>80</v>
      </c>
      <c r="D10" s="29">
        <f>SUM(CLEANED_DATA!E2:E701)</f>
        <v>1125806</v>
      </c>
      <c r="E10" s="124" t="s">
        <v>81</v>
      </c>
      <c r="F10" s="124"/>
      <c r="G10" s="124"/>
      <c r="H10" s="124"/>
    </row>
    <row r="13" spans="2:8" ht="19" x14ac:dyDescent="0.35">
      <c r="B13" s="123" t="s">
        <v>82</v>
      </c>
      <c r="C13" s="123"/>
      <c r="D13" s="123"/>
      <c r="E13" s="123"/>
      <c r="F13" s="123"/>
      <c r="G13" s="123"/>
      <c r="H13" s="123"/>
    </row>
    <row r="14" spans="2:8" ht="16.5" x14ac:dyDescent="0.35">
      <c r="B14" s="30" t="s">
        <v>6</v>
      </c>
      <c r="C14" s="30" t="s">
        <v>83</v>
      </c>
      <c r="D14" s="30" t="s">
        <v>84</v>
      </c>
      <c r="E14" s="30" t="s">
        <v>85</v>
      </c>
      <c r="F14" s="30" t="s">
        <v>86</v>
      </c>
      <c r="G14" s="30" t="s">
        <v>70</v>
      </c>
      <c r="H14" s="37" t="s">
        <v>4</v>
      </c>
    </row>
    <row r="15" spans="2:8" x14ac:dyDescent="0.35">
      <c r="B15" s="33" t="s">
        <v>88</v>
      </c>
      <c r="C15" s="34">
        <f>SUMIF(CLEANED_DATA!A2:A701,"Channel Partners",CLEANED_DATA!J2:J701)</f>
        <v>1800593.6399999994</v>
      </c>
      <c r="D15" s="35">
        <f t="shared" ref="D15:D20" si="0">C15/$D$6</f>
        <v>1.5165914188862565E-2</v>
      </c>
      <c r="E15" s="34">
        <f>SUMIF(CLEANED_DATA!A2:A701,"Channel Partners",CLEANED_DATA!L2:L701)</f>
        <v>1316803.1400000001</v>
      </c>
      <c r="F15" s="35">
        <f t="shared" ref="F15:F20" si="1">IF(C15=0,0,E15/C15)</f>
        <v>0.73131611194628043</v>
      </c>
      <c r="G15" s="36">
        <f>SUMIF(CLEANED_DATA!A2:A701,"Channel Partners",CLEANED_DATA!K2:K701)</f>
        <v>483790.5</v>
      </c>
      <c r="H15" s="98">
        <f>SUMIF(CLEANED_DATA!A2:A701,"Channel Partners",CLEANED_DATA!E2:E701)</f>
        <v>161263.5</v>
      </c>
    </row>
    <row r="16" spans="2:8" x14ac:dyDescent="0.35">
      <c r="B16" s="22" t="s">
        <v>87</v>
      </c>
      <c r="C16" s="31">
        <f>SUMIF(CLEANED_DATA!A2:A701,"Midmarket",CLEANED_DATA!J2:J701)</f>
        <v>2381883.0750000002</v>
      </c>
      <c r="D16" s="25">
        <f t="shared" si="0"/>
        <v>2.0061958190274464E-2</v>
      </c>
      <c r="E16" s="31">
        <f>SUMIF(CLEANED_DATA!A2:A701,"Midmarket",CLEANED_DATA!L2:L701)</f>
        <v>660103.07499999984</v>
      </c>
      <c r="F16" s="25">
        <f t="shared" si="1"/>
        <v>0.27713496179907982</v>
      </c>
      <c r="G16" s="32">
        <f>SUMIF(CLEANED_DATA!A2:A701,"Midmarket",CLEANED_DATA!K2:K701)</f>
        <v>1721780</v>
      </c>
      <c r="H16" s="98">
        <f>SUMIF(CLEANED_DATA!A2:A701,"Midmarket",CLEANED_DATA!E2:E701)</f>
        <v>172178</v>
      </c>
    </row>
    <row r="17" spans="2:8" x14ac:dyDescent="0.35">
      <c r="B17" s="22" t="s">
        <v>9</v>
      </c>
      <c r="C17" s="31">
        <f>SUMIF(CLEANED_DATA!A2:A701,"Enterprise",CLEANED_DATA!J2:J701)</f>
        <v>19611694.375</v>
      </c>
      <c r="D17" s="25">
        <f t="shared" si="0"/>
        <v>0.16518400786390022</v>
      </c>
      <c r="E17" s="31">
        <f>SUMIF(CLEANED_DATA!A2:A701,"Enterprise",CLEANED_DATA!L2:L701)</f>
        <v>-614545.625</v>
      </c>
      <c r="F17" s="25">
        <f t="shared" si="1"/>
        <v>-3.1335672137711455E-2</v>
      </c>
      <c r="G17" s="32">
        <f>SUMIF(CLEANED_DATA!A2:A701,"Enterprise",CLEANED_DATA!K2:K701)</f>
        <v>20226240</v>
      </c>
      <c r="H17" s="98">
        <f>SUMIF(CLEANED_DATA!A2:A701,"Enterprise",CLEANED_DATA!E2:E701)</f>
        <v>168552</v>
      </c>
    </row>
    <row r="18" spans="2:8" x14ac:dyDescent="0.35">
      <c r="B18" s="33" t="s">
        <v>7</v>
      </c>
      <c r="C18" s="34">
        <f>SUMIF(CLEANED_DATA!A2:A701,"Small Business",CLEANED_DATA!J2:J701)</f>
        <v>42427918.5</v>
      </c>
      <c r="D18" s="35">
        <f t="shared" si="0"/>
        <v>0.35735890480156018</v>
      </c>
      <c r="E18" s="34">
        <f>SUMIF(CLEANED_DATA!A2:A701,"Small Business",CLEANED_DATA!L2:L701)</f>
        <v>4143168.5</v>
      </c>
      <c r="F18" s="35">
        <f t="shared" si="1"/>
        <v>9.7651938781771724E-2</v>
      </c>
      <c r="G18" s="36">
        <f>SUMIF(CLEANED_DATA!A2:A701,"Small Business",CLEANED_DATA!K2:K701)</f>
        <v>38284750</v>
      </c>
      <c r="H18" s="98">
        <f>SUMIF(CLEANED_DATA!A2:A701,"Small Business",CLEANED_DATA!E2:E701)</f>
        <v>153139</v>
      </c>
    </row>
    <row r="19" spans="2:8" x14ac:dyDescent="0.35">
      <c r="B19" s="33" t="s">
        <v>10</v>
      </c>
      <c r="C19" s="34">
        <f>SUMIF(CLEANED_DATA!A2:A701, "Government", CLEANED_DATA!J2:J701)</f>
        <v>52504260.670000039</v>
      </c>
      <c r="D19" s="35">
        <f t="shared" si="0"/>
        <v>0.44222921495540357</v>
      </c>
      <c r="E19" s="34">
        <f>SUMIF(CLEANED_DATA!A2:A701,"Government",CLEANED_DATA!L2:L701)</f>
        <v>11388173.169999985</v>
      </c>
      <c r="F19" s="35">
        <f t="shared" si="1"/>
        <v>0.21689998153820259</v>
      </c>
      <c r="G19" s="36">
        <f>SUMIF(CLEANED_DATA!A2:A701,"Government",CLEANED_DATA!K2:K701)</f>
        <v>41116087.5</v>
      </c>
      <c r="H19" s="98">
        <f>SUMIF(CLEANED_DATA!A2:A701,"Government",CLEANED_DATA!E2:E701)</f>
        <v>470673.5</v>
      </c>
    </row>
    <row r="20" spans="2:8" x14ac:dyDescent="0.35">
      <c r="B20" s="40" t="s">
        <v>89</v>
      </c>
      <c r="C20" s="38">
        <f>SUM(C15:C19)</f>
        <v>118726350.26000005</v>
      </c>
      <c r="D20" s="39">
        <f t="shared" si="0"/>
        <v>1.0000000000000011</v>
      </c>
      <c r="E20" s="38">
        <f>SUM(E15:E19)</f>
        <v>16893702.259999983</v>
      </c>
      <c r="F20" s="39">
        <f t="shared" si="1"/>
        <v>0.14229109395685366</v>
      </c>
      <c r="G20" s="38">
        <f>SUM(G15:G19)</f>
        <v>101832648</v>
      </c>
      <c r="H20" s="99">
        <f>SUM(H15:H19)</f>
        <v>1125806</v>
      </c>
    </row>
    <row r="23" spans="2:8" ht="19" x14ac:dyDescent="0.45">
      <c r="B23" s="119" t="s">
        <v>90</v>
      </c>
      <c r="C23" s="119"/>
      <c r="D23" s="119"/>
      <c r="E23" s="119"/>
      <c r="F23" s="119"/>
      <c r="G23" s="119"/>
      <c r="H23" s="119"/>
    </row>
    <row r="24" spans="2:8" ht="16.5" x14ac:dyDescent="0.35">
      <c r="B24" s="41" t="s">
        <v>35</v>
      </c>
      <c r="C24" s="41" t="s">
        <v>83</v>
      </c>
      <c r="D24" s="41" t="s">
        <v>84</v>
      </c>
      <c r="E24" s="41" t="s">
        <v>85</v>
      </c>
      <c r="F24" s="41" t="s">
        <v>86</v>
      </c>
      <c r="G24" s="41" t="s">
        <v>70</v>
      </c>
      <c r="H24" s="42" t="s">
        <v>4</v>
      </c>
    </row>
    <row r="25" spans="2:8" x14ac:dyDescent="0.35">
      <c r="B25" s="44" t="s">
        <v>16</v>
      </c>
      <c r="C25" s="45">
        <f>SUMIF(CLEANED_DATA!B2:B701,"Canada",CLEANED_DATA!J2:J701)</f>
        <v>24887654.885000005</v>
      </c>
      <c r="D25" s="46">
        <f>C25/$D$6</f>
        <v>0.20962199908022358</v>
      </c>
      <c r="E25" s="45">
        <f>SUMIF(CLEANED_DATA!B2:B701,"Canada",CLEANED_DATA!L2:L701)</f>
        <v>3529228.8850000002</v>
      </c>
      <c r="F25" s="46">
        <f>IF(C25=0,0, E25/C25)</f>
        <v>0.1418064056781459</v>
      </c>
      <c r="G25" s="45">
        <f>SUMIF(CLEANED_DATA!B2:B701,"Canada",CLEANED_DATA!K2:K701)</f>
        <v>21358426</v>
      </c>
      <c r="H25" s="47">
        <f>SUMIF(CLEANED_DATA!B2:B701,"Canada",CLEANED_DATA!E2:E701)</f>
        <v>247428.5</v>
      </c>
    </row>
    <row r="26" spans="2:8" x14ac:dyDescent="0.35">
      <c r="B26" s="43" t="s">
        <v>19</v>
      </c>
      <c r="C26" s="31">
        <f>SUMIF(CLEANED_DATA!B2:B701,"Germany",CLEANED_DATA!J2:J701)</f>
        <v>23505340.820000011</v>
      </c>
      <c r="D26" s="25">
        <f t="shared" ref="D26:D29" si="2">C26/$D$6</f>
        <v>0.19797914084384344</v>
      </c>
      <c r="E26" s="31">
        <f>SUMIF(CLEANED_DATA!B2:B701,"Germany",CLEANED_DATA!L2:L701)</f>
        <v>3680388.8200000008</v>
      </c>
      <c r="F26" s="25">
        <f t="shared" ref="F26:F29" si="3">IF(C26=0,0, E26/C26)</f>
        <v>0.15657670519154798</v>
      </c>
      <c r="G26" s="31">
        <f>SUMIF(CLEANED_DATA!B2:B701,"Germany",CLEANED_DATA!K2:K701)</f>
        <v>19824952</v>
      </c>
      <c r="H26" s="48">
        <f>SUMIF(CLEANED_DATA!B2:B701,"Germany",CLEANED_DATA!E2:E701)</f>
        <v>201494</v>
      </c>
    </row>
    <row r="27" spans="2:8" x14ac:dyDescent="0.35">
      <c r="B27" s="44" t="s">
        <v>18</v>
      </c>
      <c r="C27" s="45">
        <f>SUMIF(CLEANED_DATA!B2:B701,"France",CLEANED_DATA!J2:J701)</f>
        <v>24354172.280000009</v>
      </c>
      <c r="D27" s="46">
        <f t="shared" si="2"/>
        <v>0.20512861910322844</v>
      </c>
      <c r="E27" s="45">
        <f>SUMIF(CLEANED_DATA!B2:B701,"France",CLEANED_DATA!L2:L701)</f>
        <v>3781020.7800000007</v>
      </c>
      <c r="F27" s="46">
        <f t="shared" si="3"/>
        <v>0.1552514590325465</v>
      </c>
      <c r="G27" s="45">
        <f>SUMIF(CLEANED_DATA!B2:B701,"France",CLEANED_DATA!K2:K701)</f>
        <v>20573151.5</v>
      </c>
      <c r="H27" s="47">
        <f>SUMIF(CLEANED_DATA!B2:B701,"France",CLEANED_DATA!E2:E701)</f>
        <v>240931</v>
      </c>
    </row>
    <row r="28" spans="2:8" x14ac:dyDescent="0.35">
      <c r="B28" s="43" t="s">
        <v>20</v>
      </c>
      <c r="C28" s="31">
        <f>SUMIF(CLEANED_DATA!B2:B701,"Mexico",CLEANED_DATA!J2:J701)</f>
        <v>20949352.109999999</v>
      </c>
      <c r="D28" s="25">
        <f t="shared" si="2"/>
        <v>0.17645073788693766</v>
      </c>
      <c r="E28" s="31">
        <f>SUMIF(CLEANED_DATA!B2:B701,"Mexico",CLEANED_DATA!L2:L701)</f>
        <v>2907523.1100000003</v>
      </c>
      <c r="F28" s="25">
        <f t="shared" si="3"/>
        <v>0.13878821143170905</v>
      </c>
      <c r="G28" s="31">
        <f>SUMIF(CLEANED_DATA!B2:B701,"Mexico",CLEANED_DATA!K2:K701)</f>
        <v>18041829</v>
      </c>
      <c r="H28" s="48">
        <f>SUMIF(CLEANED_DATA!B2:B701,"Mexico",CLEANED_DATA!E2:E701)</f>
        <v>203325</v>
      </c>
    </row>
    <row r="29" spans="2:8" x14ac:dyDescent="0.35">
      <c r="B29" s="44" t="s">
        <v>17</v>
      </c>
      <c r="C29" s="45">
        <f>SUMIF(CLEANED_DATA!B2:B701,"United States of America",CLEANED_DATA!J2:J701)</f>
        <v>25029830.165000014</v>
      </c>
      <c r="D29" s="46">
        <f t="shared" si="2"/>
        <v>0.21081950308576791</v>
      </c>
      <c r="E29" s="45">
        <f>SUMIF(CLEANED_DATA!B2:B701,"United States of America",CLEANED_DATA!L2:L701)</f>
        <v>2995540.6649999991</v>
      </c>
      <c r="F29" s="46">
        <f t="shared" si="3"/>
        <v>0.11967882503608659</v>
      </c>
      <c r="G29" s="45">
        <f>SUMIF(CLEANED_DATA!B2:B701,"United States of America",CLEANED_DATA!K2:K701)</f>
        <v>22034289.5</v>
      </c>
      <c r="H29" s="47">
        <f>SUMIF(CLEANED_DATA!B2:B701,"United States of America",CLEANED_DATA!E2:E701)</f>
        <v>232627.5</v>
      </c>
    </row>
    <row r="30" spans="2:8" x14ac:dyDescent="0.35">
      <c r="B30" s="49" t="s">
        <v>89</v>
      </c>
      <c r="C30" s="50">
        <f>SUM(C25:C29)</f>
        <v>118726350.26000002</v>
      </c>
      <c r="D30" s="51">
        <f>C30/$D$6</f>
        <v>1.0000000000000009</v>
      </c>
      <c r="E30" s="50">
        <f>SUM(E25:E29)</f>
        <v>16893702.260000002</v>
      </c>
      <c r="F30" s="51">
        <f>IF(C30=0,0, E30/C30)</f>
        <v>0.14229109395685385</v>
      </c>
      <c r="G30" s="50">
        <f>SUM(G25:G29)</f>
        <v>101832648</v>
      </c>
      <c r="H30" s="52">
        <f>SUM(H25:H29)</f>
        <v>1125806</v>
      </c>
    </row>
    <row r="33" spans="2:8" ht="19" x14ac:dyDescent="0.45">
      <c r="B33" s="120" t="s">
        <v>91</v>
      </c>
      <c r="C33" s="120"/>
      <c r="D33" s="120"/>
      <c r="E33" s="120"/>
      <c r="F33" s="120"/>
      <c r="G33" s="120"/>
      <c r="H33" s="120"/>
    </row>
    <row r="34" spans="2:8" ht="16.5" x14ac:dyDescent="0.35">
      <c r="B34" s="53" t="s">
        <v>36</v>
      </c>
      <c r="C34" s="53" t="s">
        <v>83</v>
      </c>
      <c r="D34" s="53" t="s">
        <v>84</v>
      </c>
      <c r="E34" s="53" t="s">
        <v>85</v>
      </c>
      <c r="F34" s="53" t="s">
        <v>86</v>
      </c>
      <c r="G34" s="53" t="s">
        <v>70</v>
      </c>
      <c r="H34" s="54" t="s">
        <v>4</v>
      </c>
    </row>
    <row r="35" spans="2:8" ht="15.5" x14ac:dyDescent="0.4">
      <c r="B35" s="55" t="s">
        <v>39</v>
      </c>
      <c r="C35" s="56">
        <f>SUMIF(CLEANED_DATA!C2:C701,"Paseo",CLEANED_DATA!J2:J701)</f>
        <v>33011143.95000001</v>
      </c>
      <c r="D35" s="57">
        <f>C35/$D$6</f>
        <v>0.27804395467146598</v>
      </c>
      <c r="E35" s="56">
        <f>SUMIF(CLEANED_DATA!C2:C701,"Paseo",CLEANED_DATA!L2:L701)</f>
        <v>4797437.9499999993</v>
      </c>
      <c r="F35" s="57">
        <f>IF(C35=0,0,E35/C35)</f>
        <v>0.14532783102780047</v>
      </c>
      <c r="G35" s="56">
        <f>SUMIF(CLEANED_DATA!C2:C701,"Paseo",CLEANED_DATA!K2:K701)</f>
        <v>28213706</v>
      </c>
      <c r="H35" s="96">
        <f>SUMIF(CLEANED_DATA!C2:C701,"Paseo",CLEANED_DATA!E2:E701)</f>
        <v>338239.5</v>
      </c>
    </row>
    <row r="36" spans="2:8" ht="15.5" x14ac:dyDescent="0.4">
      <c r="B36" s="21" t="s">
        <v>41</v>
      </c>
      <c r="C36" s="31">
        <f>SUMIF(CLEANED_DATA!C2:C701,"VTT",CLEANED_DATA!J2:J701)</f>
        <v>20511921.02</v>
      </c>
      <c r="D36" s="25">
        <f t="shared" ref="D36:D40" si="4">C36/$D$6</f>
        <v>0.17276637389324911</v>
      </c>
      <c r="E36" s="31">
        <f>SUMIF(CLEANED_DATA!C2:C701,"VTT",CLEANED_DATA!L2:L701)</f>
        <v>3034608.0200000005</v>
      </c>
      <c r="F36" s="25">
        <f t="shared" ref="F36:F40" si="5">IF(C36=0,0,E36/C36)</f>
        <v>0.14794362834378741</v>
      </c>
      <c r="G36" s="31">
        <f>SUMIF(CLEANED_DATA!C2:C701,"VTT",CLEANED_DATA!K2:K701)</f>
        <v>17477313</v>
      </c>
      <c r="H36" s="48">
        <f>SUMIF(CLEANED_DATA!C2:C701,"VTT",CLEANED_DATA!E2:E701)</f>
        <v>168783</v>
      </c>
    </row>
    <row r="37" spans="2:8" ht="15.5" x14ac:dyDescent="0.4">
      <c r="B37" s="55" t="s">
        <v>40</v>
      </c>
      <c r="C37" s="56">
        <f>SUMIF(CLEANED_DATA!C2:C701,"Velo",CLEANED_DATA!J2:J701)</f>
        <v>18250059.465</v>
      </c>
      <c r="D37" s="57">
        <f t="shared" si="4"/>
        <v>0.15371532456808473</v>
      </c>
      <c r="E37" s="56">
        <f>SUMIF(CLEANED_DATA!C2:C701,"Velo",CLEANED_DATA!L2:L701)</f>
        <v>2305992.4649999999</v>
      </c>
      <c r="F37" s="57">
        <f t="shared" si="5"/>
        <v>0.12635533979614899</v>
      </c>
      <c r="G37" s="56">
        <f>SUMIF(CLEANED_DATA!C2:C701,"Velo",CLEANED_DATA!K2:K701)</f>
        <v>15944067</v>
      </c>
      <c r="H37" s="96">
        <f>SUMIF(CLEANED_DATA!C2:C701,"Velo",CLEANED_DATA!E2:E701)</f>
        <v>162424.5</v>
      </c>
    </row>
    <row r="38" spans="2:8" ht="15.5" x14ac:dyDescent="0.4">
      <c r="B38" s="21" t="s">
        <v>42</v>
      </c>
      <c r="C38" s="31">
        <f>SUMIF(CLEANED_DATA!C2:C701,"Amarilla",CLEANED_DATA!J2:J701)</f>
        <v>17747116.059999999</v>
      </c>
      <c r="D38" s="25">
        <f t="shared" si="4"/>
        <v>0.14947916802913108</v>
      </c>
      <c r="E38" s="31">
        <f>SUMIF(CLEANED_DATA!C2:C701,"Amarilla",CLEANED_DATA!L2:L701)</f>
        <v>2814104.06</v>
      </c>
      <c r="F38" s="25">
        <f t="shared" si="5"/>
        <v>0.15856683702782975</v>
      </c>
      <c r="G38" s="31">
        <f>SUMIF(CLEANED_DATA!C2:C701,"Amarilla",CLEANED_DATA!K2:K701)</f>
        <v>14933012</v>
      </c>
      <c r="H38" s="48">
        <f>SUMIF(CLEANED_DATA!C2:C701,"Amarilla",CLEANED_DATA!E2:E701)</f>
        <v>155315</v>
      </c>
    </row>
    <row r="39" spans="2:8" ht="15.5" x14ac:dyDescent="0.4">
      <c r="B39" s="55" t="s">
        <v>38</v>
      </c>
      <c r="C39" s="56">
        <f>SUMIF(CLEANED_DATA!C2:C701,"Montana",CLEANED_DATA!J2:J701)</f>
        <v>15390801.879999995</v>
      </c>
      <c r="D39" s="57">
        <f t="shared" si="4"/>
        <v>0.12963256973953582</v>
      </c>
      <c r="E39" s="56">
        <f>SUMIF(CLEANED_DATA!C2:C701,"Montana",CLEANED_DATA!L2:L701)</f>
        <v>2114754.8800000004</v>
      </c>
      <c r="F39" s="57">
        <f t="shared" si="5"/>
        <v>0.13740381407599545</v>
      </c>
      <c r="G39" s="56">
        <f>SUMIF(CLEANED_DATA!C2:C701,"Montana",CLEANED_DATA!K2:K701)</f>
        <v>13276047</v>
      </c>
      <c r="H39" s="96">
        <f>SUMIF(CLEANED_DATA!C2:C701,"Montana",CLEANED_DATA!E2:E701)</f>
        <v>154198</v>
      </c>
    </row>
    <row r="40" spans="2:8" ht="15.5" x14ac:dyDescent="0.4">
      <c r="B40" s="21" t="s">
        <v>37</v>
      </c>
      <c r="C40" s="31">
        <f>SUMIF(CLEANED_DATA!C2:C701,"Carretera",CLEANED_DATA!J2:J701)</f>
        <v>13815307.885000004</v>
      </c>
      <c r="D40" s="25">
        <f t="shared" si="4"/>
        <v>0.11636260909853402</v>
      </c>
      <c r="E40" s="31">
        <f>SUMIF(CLEANED_DATA!C2:C701,"Carretera",CLEANED_DATA!L2:L701)</f>
        <v>1826804.8849999998</v>
      </c>
      <c r="F40" s="25">
        <f t="shared" si="5"/>
        <v>0.13223048666063075</v>
      </c>
      <c r="G40" s="31">
        <f>SUMIF(CLEANED_DATA!C2:C701,"Carretera",CLEANED_DATA!K2:K701)</f>
        <v>11988503</v>
      </c>
      <c r="H40" s="48">
        <f>SUMIF(CLEANED_DATA!C2:C701,"Carretera",CLEANED_DATA!E2:E701)</f>
        <v>146846</v>
      </c>
    </row>
    <row r="41" spans="2:8" ht="15.5" x14ac:dyDescent="0.4">
      <c r="B41" s="71" t="s">
        <v>89</v>
      </c>
      <c r="C41" s="72">
        <f>SUM(C35:C40)</f>
        <v>118726350.26000002</v>
      </c>
      <c r="D41" s="73">
        <f>C41/$D$6</f>
        <v>1.0000000000000009</v>
      </c>
      <c r="E41" s="72">
        <f>SUM(E35:E40)</f>
        <v>16893702.259999998</v>
      </c>
      <c r="F41" s="73">
        <f>IF(C41=0,0,E41/C41)</f>
        <v>0.14229109395685383</v>
      </c>
      <c r="G41" s="72">
        <f>SUM(G35:G40)</f>
        <v>101832648</v>
      </c>
      <c r="H41" s="97">
        <f>SUM(H35:H40)</f>
        <v>1125806</v>
      </c>
    </row>
    <row r="44" spans="2:8" ht="19" x14ac:dyDescent="0.45">
      <c r="B44" s="121" t="s">
        <v>92</v>
      </c>
      <c r="C44" s="121"/>
      <c r="D44" s="121"/>
      <c r="E44" s="121"/>
      <c r="F44" s="121"/>
      <c r="G44" s="121"/>
      <c r="H44" s="121"/>
    </row>
    <row r="45" spans="2:8" ht="16.5" x14ac:dyDescent="0.35">
      <c r="B45" s="58" t="s">
        <v>0</v>
      </c>
      <c r="C45" s="58" t="s">
        <v>83</v>
      </c>
      <c r="D45" s="58" t="s">
        <v>84</v>
      </c>
      <c r="E45" s="58" t="s">
        <v>85</v>
      </c>
      <c r="F45" s="58" t="s">
        <v>86</v>
      </c>
      <c r="G45" s="58" t="s">
        <v>70</v>
      </c>
      <c r="H45" s="59" t="s">
        <v>4</v>
      </c>
    </row>
    <row r="46" spans="2:8" ht="15.5" x14ac:dyDescent="0.35">
      <c r="B46" s="64">
        <v>2013</v>
      </c>
      <c r="C46" s="65">
        <f>SUMIF(CLEANED_DATA!P2:P701,2013,CLEANED_DATA!J2:J701)</f>
        <v>26415255.510000009</v>
      </c>
      <c r="D46" s="66">
        <f>C46/$D$6</f>
        <v>0.22248856679374882</v>
      </c>
      <c r="E46" s="65">
        <f>SUMIF(CLEANED_DATA!P2:P701,2013,CLEANED_DATA!L2:L701)</f>
        <v>3878464.5100000007</v>
      </c>
      <c r="F46" s="66">
        <f>IF(C46=0,0,E46/C46)</f>
        <v>0.14682668916572594</v>
      </c>
      <c r="G46" s="65">
        <f>SUMIF(CLEANED_DATA!P2:P701,2013,CLEANED_DATA!K2:K701)</f>
        <v>22536791</v>
      </c>
      <c r="H46" s="100">
        <f>SUMIF(CLEANED_DATA!P2:P701,2013,CLEANED_DATA!E2:E701)</f>
        <v>264674</v>
      </c>
    </row>
    <row r="47" spans="2:8" ht="15.5" x14ac:dyDescent="0.35">
      <c r="B47" s="61">
        <v>2014</v>
      </c>
      <c r="C47" s="62">
        <f>SUMIF(CLEANED_DATA!P2:P701,2014,CLEANED_DATA!J2:J701)</f>
        <v>92311094.749999985</v>
      </c>
      <c r="D47" s="63">
        <f>C47/$D$6</f>
        <v>0.77751143320625182</v>
      </c>
      <c r="E47" s="62">
        <f>SUMIF(CLEANED_DATA!P2:P701,2014,CLEANED_DATA!L2:L701)</f>
        <v>13015237.749999994</v>
      </c>
      <c r="F47" s="63">
        <f>IF(C47=0,0,E47/C47)</f>
        <v>0.14099321197791337</v>
      </c>
      <c r="G47" s="62">
        <f>SUMIF(CLEANED_DATA!P2:P701,2014,CLEANED_DATA!K2:K701)</f>
        <v>79295857</v>
      </c>
      <c r="H47" s="101">
        <f>SUMIF(CLEANED_DATA!P2:P701,2014,CLEANED_DATA!E2:E701)</f>
        <v>861132</v>
      </c>
    </row>
    <row r="48" spans="2:8" ht="15.5" x14ac:dyDescent="0.35">
      <c r="B48" s="67" t="s">
        <v>89</v>
      </c>
      <c r="C48" s="68">
        <f>SUM(C46:C47)</f>
        <v>118726350.25999999</v>
      </c>
      <c r="D48" s="69">
        <f>C48/$D$6</f>
        <v>1.0000000000000007</v>
      </c>
      <c r="E48" s="68">
        <f>SUM(E46:E47)</f>
        <v>16893702.259999994</v>
      </c>
      <c r="F48" s="69">
        <f>IF(C48=0,0,E48/C48)</f>
        <v>0.14229109395685383</v>
      </c>
      <c r="G48" s="68">
        <f>SUM(G46:G47)</f>
        <v>101832648</v>
      </c>
      <c r="H48" s="102">
        <f>SUM(H46:H47)</f>
        <v>1125806</v>
      </c>
    </row>
    <row r="49" spans="4:4" x14ac:dyDescent="0.35">
      <c r="D49" s="60"/>
    </row>
  </sheetData>
  <sortState xmlns:xlrd2="http://schemas.microsoft.com/office/spreadsheetml/2017/richdata2" ref="B15:H20">
    <sortCondition ref="C14:C20"/>
  </sortState>
  <mergeCells count="13">
    <mergeCell ref="B23:H23"/>
    <mergeCell ref="B33:H33"/>
    <mergeCell ref="B44:H44"/>
    <mergeCell ref="B2:H2"/>
    <mergeCell ref="B13:H13"/>
    <mergeCell ref="E8:H8"/>
    <mergeCell ref="E9:H9"/>
    <mergeCell ref="E10:H10"/>
    <mergeCell ref="E3:H3"/>
    <mergeCell ref="E4:H4"/>
    <mergeCell ref="E5:H5"/>
    <mergeCell ref="E6:H6"/>
    <mergeCell ref="E7:H7"/>
  </mergeCells>
  <conditionalFormatting sqref="F15:F19">
    <cfRule type="cellIs" dxfId="11" priority="7" operator="between">
      <formula>0</formula>
      <formula>0.18</formula>
    </cfRule>
    <cfRule type="cellIs" dxfId="10" priority="8" operator="lessThan">
      <formula>0</formula>
    </cfRule>
    <cfRule type="cellIs" dxfId="9" priority="9" operator="greaterThan">
      <formula>0.18</formula>
    </cfRule>
  </conditionalFormatting>
  <conditionalFormatting sqref="F25:F29">
    <cfRule type="cellIs" dxfId="8" priority="4" operator="lessThan">
      <formula>0</formula>
    </cfRule>
    <cfRule type="cellIs" dxfId="7" priority="5" operator="greaterThanOrEqual">
      <formula>0.15</formula>
    </cfRule>
    <cfRule type="cellIs" dxfId="6" priority="6" operator="between">
      <formula>0</formula>
      <formula>0.15</formula>
    </cfRule>
  </conditionalFormatting>
  <conditionalFormatting sqref="F35:F40">
    <cfRule type="cellIs" dxfId="5" priority="1" operator="lessThan">
      <formula>0</formula>
    </cfRule>
    <cfRule type="cellIs" dxfId="4" priority="2" operator="greaterThanOrEqual">
      <formula>0.15</formula>
    </cfRule>
    <cfRule type="cellIs" dxfId="3" priority="3" operator="between">
      <formula>0</formula>
      <formula>0.15</formula>
    </cfRule>
  </conditionalFormatting>
  <pageMargins left="0.7" right="0.7" top="0.75" bottom="0.75" header="0.3" footer="0.3"/>
  <ignoredErrors>
    <ignoredError sqref="F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1DB2-A8DF-4B03-8112-225ABDBCD1DD}">
  <sheetPr>
    <tabColor rgb="FFFFC000"/>
  </sheetPr>
  <dimension ref="B1:H39"/>
  <sheetViews>
    <sheetView zoomScale="90" zoomScaleNormal="90" workbookViewId="0">
      <selection activeCell="G8" sqref="G8"/>
    </sheetView>
  </sheetViews>
  <sheetFormatPr defaultRowHeight="14.5" x14ac:dyDescent="0.35"/>
  <cols>
    <col min="2" max="2" width="13.6328125" bestFit="1" customWidth="1"/>
    <col min="3" max="3" width="15.36328125" bestFit="1" customWidth="1"/>
    <col min="4" max="4" width="15.453125" bestFit="1" customWidth="1"/>
    <col min="5" max="5" width="18.453125" customWidth="1"/>
    <col min="6" max="6" width="13.81640625" bestFit="1" customWidth="1"/>
    <col min="7" max="7" width="28.81640625" customWidth="1"/>
    <col min="8" max="8" width="14.81640625" bestFit="1" customWidth="1"/>
  </cols>
  <sheetData>
    <row r="1" spans="2:8" ht="19" x14ac:dyDescent="0.45">
      <c r="B1" s="160" t="s">
        <v>175</v>
      </c>
      <c r="C1" s="160"/>
      <c r="D1" s="160"/>
      <c r="E1" s="160"/>
      <c r="F1" s="160"/>
      <c r="G1" s="160"/>
      <c r="H1" s="160"/>
    </row>
    <row r="3" spans="2:8" ht="16.5" x14ac:dyDescent="0.4">
      <c r="B3" s="117" t="s">
        <v>95</v>
      </c>
      <c r="C3" s="117"/>
      <c r="D3" s="117"/>
      <c r="E3" s="117"/>
    </row>
    <row r="4" spans="2:8" ht="15.5" x14ac:dyDescent="0.4">
      <c r="B4" s="87" t="s">
        <v>96</v>
      </c>
      <c r="C4" s="87" t="s">
        <v>0</v>
      </c>
      <c r="D4" s="87"/>
      <c r="E4" s="87"/>
    </row>
    <row r="5" spans="2:8" ht="15.5" x14ac:dyDescent="0.4">
      <c r="B5" s="87" t="s">
        <v>97</v>
      </c>
      <c r="C5" s="87" t="s">
        <v>14</v>
      </c>
      <c r="D5" s="87" t="s">
        <v>15</v>
      </c>
      <c r="E5" s="87" t="s">
        <v>89</v>
      </c>
    </row>
    <row r="6" spans="2:8" x14ac:dyDescent="0.35">
      <c r="B6" s="88" t="s">
        <v>11</v>
      </c>
      <c r="C6" s="89">
        <v>398090.27999999997</v>
      </c>
      <c r="D6" s="89">
        <v>1402503.3599999996</v>
      </c>
      <c r="E6" s="89">
        <v>1800593.6399999997</v>
      </c>
    </row>
    <row r="7" spans="2:8" x14ac:dyDescent="0.35">
      <c r="B7" s="77" t="s">
        <v>9</v>
      </c>
      <c r="C7" s="78">
        <v>4049562.5</v>
      </c>
      <c r="D7" s="78">
        <v>15562131.875</v>
      </c>
      <c r="E7" s="78">
        <v>19611694.375</v>
      </c>
    </row>
    <row r="8" spans="2:8" x14ac:dyDescent="0.35">
      <c r="B8" s="88" t="s">
        <v>10</v>
      </c>
      <c r="C8" s="89">
        <v>13085685.280000003</v>
      </c>
      <c r="D8" s="89">
        <v>39418575.39000003</v>
      </c>
      <c r="E8" s="89">
        <v>52504260.670000032</v>
      </c>
    </row>
    <row r="9" spans="2:8" x14ac:dyDescent="0.35">
      <c r="B9" s="77" t="s">
        <v>8</v>
      </c>
      <c r="C9" s="78">
        <v>546243.44999999995</v>
      </c>
      <c r="D9" s="78">
        <v>1835639.625</v>
      </c>
      <c r="E9" s="78">
        <v>2381883.0750000002</v>
      </c>
    </row>
    <row r="10" spans="2:8" x14ac:dyDescent="0.35">
      <c r="B10" s="88" t="s">
        <v>7</v>
      </c>
      <c r="C10" s="89">
        <v>8335674</v>
      </c>
      <c r="D10" s="89">
        <v>34092244.5</v>
      </c>
      <c r="E10" s="89">
        <v>42427918.5</v>
      </c>
    </row>
    <row r="11" spans="2:8" ht="15.5" x14ac:dyDescent="0.4">
      <c r="B11" s="79" t="s">
        <v>89</v>
      </c>
      <c r="C11" s="80">
        <v>26415255.510000002</v>
      </c>
      <c r="D11" s="80">
        <v>92311094.75000003</v>
      </c>
      <c r="E11" s="80">
        <v>118726350.26000004</v>
      </c>
    </row>
    <row r="13" spans="2:8" ht="19" x14ac:dyDescent="0.45">
      <c r="B13" s="127" t="s">
        <v>99</v>
      </c>
      <c r="C13" s="127"/>
      <c r="D13" s="127"/>
      <c r="E13" s="127"/>
      <c r="F13" s="127"/>
      <c r="G13" s="127"/>
      <c r="H13" s="127"/>
    </row>
    <row r="14" spans="2:8" ht="15.5" x14ac:dyDescent="0.4">
      <c r="B14" s="90" t="s">
        <v>100</v>
      </c>
      <c r="C14" s="90" t="s">
        <v>35</v>
      </c>
      <c r="D14" s="90"/>
      <c r="E14" s="90"/>
      <c r="F14" s="90"/>
      <c r="G14" s="90"/>
      <c r="H14" s="90"/>
    </row>
    <row r="15" spans="2:8" ht="15.5" x14ac:dyDescent="0.4">
      <c r="B15" s="90" t="s">
        <v>36</v>
      </c>
      <c r="C15" s="90" t="s">
        <v>16</v>
      </c>
      <c r="D15" s="90" t="s">
        <v>18</v>
      </c>
      <c r="E15" s="90" t="s">
        <v>19</v>
      </c>
      <c r="F15" s="90" t="s">
        <v>20</v>
      </c>
      <c r="G15" s="90" t="s">
        <v>17</v>
      </c>
      <c r="H15" s="90" t="s">
        <v>93</v>
      </c>
    </row>
    <row r="16" spans="2:8" ht="15.5" x14ac:dyDescent="0.4">
      <c r="B16" s="82" t="s">
        <v>42</v>
      </c>
      <c r="C16" s="81">
        <v>646861.375</v>
      </c>
      <c r="D16" s="81">
        <v>667867.62999999989</v>
      </c>
      <c r="E16" s="81">
        <v>612137.26</v>
      </c>
      <c r="F16" s="81">
        <v>498611.39</v>
      </c>
      <c r="G16" s="81">
        <v>388626.40499999997</v>
      </c>
      <c r="H16" s="81">
        <v>2814104.0599999996</v>
      </c>
    </row>
    <row r="17" spans="2:8" ht="15.5" x14ac:dyDescent="0.4">
      <c r="B17" s="85" t="s">
        <v>37</v>
      </c>
      <c r="C17" s="86">
        <v>436105.34</v>
      </c>
      <c r="D17" s="86">
        <v>388864.89500000002</v>
      </c>
      <c r="E17" s="86">
        <v>369674.67999999993</v>
      </c>
      <c r="F17" s="86">
        <v>393668.42000000004</v>
      </c>
      <c r="G17" s="86">
        <v>238491.55</v>
      </c>
      <c r="H17" s="86">
        <v>1826804.885</v>
      </c>
    </row>
    <row r="18" spans="2:8" ht="15.5" x14ac:dyDescent="0.4">
      <c r="B18" s="82" t="s">
        <v>38</v>
      </c>
      <c r="C18" s="81">
        <v>321867.03000000003</v>
      </c>
      <c r="D18" s="81">
        <v>461238.36999999994</v>
      </c>
      <c r="E18" s="81">
        <v>559438.36999999988</v>
      </c>
      <c r="F18" s="81">
        <v>337689.30999999994</v>
      </c>
      <c r="G18" s="81">
        <v>434521.80000000005</v>
      </c>
      <c r="H18" s="81">
        <v>2114754.88</v>
      </c>
    </row>
    <row r="19" spans="2:8" ht="15.5" x14ac:dyDescent="0.4">
      <c r="B19" s="85" t="s">
        <v>39</v>
      </c>
      <c r="C19" s="86">
        <v>1265017.9900000002</v>
      </c>
      <c r="D19" s="86">
        <v>838748.56</v>
      </c>
      <c r="E19" s="86">
        <v>744416.73999999976</v>
      </c>
      <c r="F19" s="86">
        <v>928651.39</v>
      </c>
      <c r="G19" s="86">
        <v>1020603.2700000001</v>
      </c>
      <c r="H19" s="86">
        <v>4797437.95</v>
      </c>
    </row>
    <row r="20" spans="2:8" ht="15.5" x14ac:dyDescent="0.4">
      <c r="B20" s="82" t="s">
        <v>40</v>
      </c>
      <c r="C20" s="81">
        <v>370568.33999999997</v>
      </c>
      <c r="D20" s="81">
        <v>707930.23499999999</v>
      </c>
      <c r="E20" s="81">
        <v>788789</v>
      </c>
      <c r="F20" s="81">
        <v>173303.89</v>
      </c>
      <c r="G20" s="81">
        <v>265401</v>
      </c>
      <c r="H20" s="81">
        <v>2305992.4649999999</v>
      </c>
    </row>
    <row r="21" spans="2:8" ht="15.5" x14ac:dyDescent="0.4">
      <c r="B21" s="85" t="s">
        <v>41</v>
      </c>
      <c r="C21" s="86">
        <v>488808.81000000006</v>
      </c>
      <c r="D21" s="86">
        <v>716371.0900000002</v>
      </c>
      <c r="E21" s="86">
        <v>605932.7699999999</v>
      </c>
      <c r="F21" s="86">
        <v>575598.71000000008</v>
      </c>
      <c r="G21" s="86">
        <v>647896.6399999999</v>
      </c>
      <c r="H21" s="86">
        <v>3034608.0200000005</v>
      </c>
    </row>
    <row r="22" spans="2:8" ht="15.5" x14ac:dyDescent="0.4">
      <c r="B22" s="83" t="s">
        <v>93</v>
      </c>
      <c r="C22" s="84">
        <v>3529228.8850000002</v>
      </c>
      <c r="D22" s="84">
        <v>3781020.7800000003</v>
      </c>
      <c r="E22" s="84">
        <v>3680388.82</v>
      </c>
      <c r="F22" s="84">
        <v>2907523.1100000003</v>
      </c>
      <c r="G22" s="84">
        <v>2995540.665</v>
      </c>
      <c r="H22" s="84">
        <v>16893702.259999998</v>
      </c>
    </row>
    <row r="33" spans="2:5" x14ac:dyDescent="0.35">
      <c r="B33" s="128" t="s">
        <v>101</v>
      </c>
      <c r="C33" s="129"/>
      <c r="D33" s="129"/>
      <c r="E33" s="130"/>
    </row>
    <row r="34" spans="2:5" ht="15.5" x14ac:dyDescent="0.4">
      <c r="B34" s="74" t="s">
        <v>102</v>
      </c>
      <c r="C34" s="21" t="s">
        <v>94</v>
      </c>
      <c r="D34" s="21" t="s">
        <v>98</v>
      </c>
      <c r="E34" s="92" t="s">
        <v>103</v>
      </c>
    </row>
    <row r="35" spans="2:5" ht="15.5" x14ac:dyDescent="0.4">
      <c r="B35" s="75" t="s">
        <v>44</v>
      </c>
      <c r="C35" s="91">
        <v>7943654</v>
      </c>
      <c r="D35" s="91">
        <v>1736455</v>
      </c>
      <c r="E35" s="94">
        <f>IF(C35=0,0,D35/C35)</f>
        <v>0.21859650483266266</v>
      </c>
    </row>
    <row r="36" spans="2:5" ht="15.5" x14ac:dyDescent="0.4">
      <c r="B36" s="75" t="s">
        <v>45</v>
      </c>
      <c r="C36" s="91">
        <v>34629778.699999996</v>
      </c>
      <c r="D36" s="91">
        <v>6188857.7000000011</v>
      </c>
      <c r="E36" s="94">
        <f t="shared" ref="E36:E39" si="0">IF(C36=0,0,D36/C36)</f>
        <v>0.17871490758328185</v>
      </c>
    </row>
    <row r="37" spans="2:5" ht="15.5" x14ac:dyDescent="0.4">
      <c r="B37" s="75" t="s">
        <v>46</v>
      </c>
      <c r="C37" s="91">
        <v>38780430.835000038</v>
      </c>
      <c r="D37" s="91">
        <v>5579522.8349999972</v>
      </c>
      <c r="E37" s="94">
        <f t="shared" si="0"/>
        <v>0.14387469955502344</v>
      </c>
    </row>
    <row r="38" spans="2:5" ht="15.5" x14ac:dyDescent="0.4">
      <c r="B38" s="75" t="s">
        <v>47</v>
      </c>
      <c r="C38" s="91">
        <v>37372486.725000016</v>
      </c>
      <c r="D38" s="91">
        <v>3388866.7250000001</v>
      </c>
      <c r="E38" s="94">
        <f t="shared" si="0"/>
        <v>9.0678117031293123E-2</v>
      </c>
    </row>
    <row r="39" spans="2:5" ht="15.5" x14ac:dyDescent="0.4">
      <c r="B39" s="75" t="s">
        <v>93</v>
      </c>
      <c r="C39" s="76">
        <v>118726350.26000005</v>
      </c>
      <c r="D39" s="76">
        <v>16893702.259999998</v>
      </c>
      <c r="E39" s="93">
        <f t="shared" si="0"/>
        <v>0.14229109395685377</v>
      </c>
    </row>
  </sheetData>
  <mergeCells count="4">
    <mergeCell ref="B3:E3"/>
    <mergeCell ref="B13:H13"/>
    <mergeCell ref="B33:E33"/>
    <mergeCell ref="B1:H1"/>
  </mergeCells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515F-EBC3-4555-A8F0-95BF60E5B172}">
  <sheetPr>
    <tabColor rgb="FFCCCC00"/>
  </sheetPr>
  <dimension ref="B1:Z8"/>
  <sheetViews>
    <sheetView showGridLines="0" tabSelected="1" topLeftCell="C1" zoomScaleNormal="100" workbookViewId="0">
      <selection activeCell="T4" sqref="T4"/>
    </sheetView>
  </sheetViews>
  <sheetFormatPr defaultColWidth="2.6328125" defaultRowHeight="35" customHeight="1" x14ac:dyDescent="0.35"/>
  <cols>
    <col min="1" max="1" width="2.6328125" style="95"/>
    <col min="2" max="3" width="8.36328125" style="95" customWidth="1"/>
    <col min="4" max="4" width="0.81640625" style="95" customWidth="1"/>
    <col min="5" max="6" width="8.36328125" style="95" customWidth="1"/>
    <col min="7" max="7" width="0.81640625" style="95" customWidth="1"/>
    <col min="8" max="9" width="8.36328125" style="95" customWidth="1"/>
    <col min="10" max="10" width="0.81640625" style="95" customWidth="1"/>
    <col min="11" max="12" width="8.36328125" style="95" customWidth="1"/>
    <col min="13" max="13" width="0.81640625" style="95" customWidth="1"/>
    <col min="14" max="15" width="9.1796875" style="95" customWidth="1"/>
    <col min="16" max="16" width="0.81640625" style="95" customWidth="1"/>
    <col min="17" max="18" width="8.36328125" style="95" customWidth="1"/>
    <col min="19" max="21" width="7.453125" style="95" customWidth="1"/>
    <col min="22" max="22" width="14.90625" style="95" customWidth="1"/>
    <col min="23" max="23" width="19.26953125" style="95" customWidth="1"/>
    <col min="24" max="24" width="7.453125" style="95" customWidth="1"/>
    <col min="25" max="25" width="9.453125" style="95" customWidth="1"/>
    <col min="26" max="26" width="20.453125" style="95" customWidth="1"/>
    <col min="27" max="27" width="7.453125" style="95" customWidth="1"/>
    <col min="28" max="16384" width="2.6328125" style="95"/>
  </cols>
  <sheetData>
    <row r="1" spans="2:26" ht="35" customHeight="1" x14ac:dyDescent="0.35">
      <c r="B1" s="110" t="s">
        <v>104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V1" s="165" t="s">
        <v>176</v>
      </c>
      <c r="W1" s="165"/>
    </row>
    <row r="2" spans="2:26" ht="2" customHeight="1" x14ac:dyDescent="0.35"/>
    <row r="3" spans="2:26" ht="18.5" customHeight="1" x14ac:dyDescent="0.4">
      <c r="B3" s="111" t="s">
        <v>1</v>
      </c>
      <c r="C3" s="111"/>
      <c r="E3" s="113" t="s">
        <v>83</v>
      </c>
      <c r="F3" s="113"/>
      <c r="H3" s="115" t="s">
        <v>73</v>
      </c>
      <c r="I3" s="115"/>
      <c r="K3" s="117" t="s">
        <v>105</v>
      </c>
      <c r="L3" s="117"/>
      <c r="N3" s="106" t="s">
        <v>70</v>
      </c>
      <c r="O3" s="106"/>
      <c r="Q3" s="108" t="s">
        <v>4</v>
      </c>
      <c r="R3" s="108"/>
      <c r="V3" s="133" t="s">
        <v>106</v>
      </c>
      <c r="W3" s="133" t="s">
        <v>107</v>
      </c>
      <c r="Y3" s="103" t="s">
        <v>108</v>
      </c>
      <c r="Z3" s="103" t="s">
        <v>109</v>
      </c>
    </row>
    <row r="4" spans="2:26" ht="25" customHeight="1" x14ac:dyDescent="0.35">
      <c r="B4" s="112">
        <f>KPI_SUMMARY!D4</f>
        <v>127931598.5</v>
      </c>
      <c r="C4" s="112"/>
      <c r="E4" s="114">
        <f>KPI_SUMMARY!D6</f>
        <v>118726350.25999992</v>
      </c>
      <c r="F4" s="114"/>
      <c r="H4" s="116">
        <f>KPI_SUMMARY!D8</f>
        <v>16893702.260000009</v>
      </c>
      <c r="I4" s="116"/>
      <c r="K4" s="118">
        <f>KPI_SUMMARY!D9</f>
        <v>0.14229109395685402</v>
      </c>
      <c r="L4" s="118"/>
      <c r="N4" s="107">
        <f>KPI_SUMMARY!D7</f>
        <v>101832648</v>
      </c>
      <c r="O4" s="107"/>
      <c r="Q4" s="109">
        <f>KPI_SUMMARY!D10</f>
        <v>1125806</v>
      </c>
      <c r="R4" s="109"/>
      <c r="V4" s="163" t="s">
        <v>1</v>
      </c>
      <c r="W4" s="164">
        <f>KPI_SUMMARY!D4</f>
        <v>127931598.5</v>
      </c>
      <c r="Y4" s="104">
        <v>2013</v>
      </c>
      <c r="Z4" s="105">
        <f>KPI_SUMMARY!C46</f>
        <v>26415255.510000009</v>
      </c>
    </row>
    <row r="5" spans="2:26" ht="25" customHeight="1" x14ac:dyDescent="0.35">
      <c r="B5" s="112"/>
      <c r="C5" s="112"/>
      <c r="E5" s="114"/>
      <c r="F5" s="114"/>
      <c r="H5" s="116"/>
      <c r="I5" s="116"/>
      <c r="K5" s="118"/>
      <c r="L5" s="118"/>
      <c r="N5" s="107"/>
      <c r="O5" s="107"/>
      <c r="Q5" s="109"/>
      <c r="R5" s="109"/>
      <c r="V5" s="161" t="s">
        <v>2</v>
      </c>
      <c r="W5" s="162">
        <f>-KPI_SUMMARY!D5</f>
        <v>-9205248.2400000021</v>
      </c>
      <c r="Y5" s="104">
        <v>2014</v>
      </c>
      <c r="Z5" s="105">
        <f>KPI_SUMMARY!C47</f>
        <v>92311094.749999985</v>
      </c>
    </row>
    <row r="6" spans="2:26" ht="25" customHeight="1" x14ac:dyDescent="0.35">
      <c r="B6" s="112"/>
      <c r="C6" s="112"/>
      <c r="E6" s="114"/>
      <c r="F6" s="114"/>
      <c r="H6" s="116"/>
      <c r="I6" s="116"/>
      <c r="K6" s="118"/>
      <c r="L6" s="118"/>
      <c r="N6" s="107"/>
      <c r="O6" s="107"/>
      <c r="Q6" s="109"/>
      <c r="R6" s="109"/>
      <c r="V6" s="163" t="s">
        <v>83</v>
      </c>
      <c r="W6" s="164">
        <f>KPI_SUMMARY!D6</f>
        <v>118726350.25999992</v>
      </c>
    </row>
    <row r="7" spans="2:26" ht="35" customHeight="1" x14ac:dyDescent="0.35">
      <c r="V7" s="161" t="s">
        <v>3</v>
      </c>
      <c r="W7" s="162">
        <f>-KPI_SUMMARY!D7</f>
        <v>-101832648</v>
      </c>
    </row>
    <row r="8" spans="2:26" ht="35" customHeight="1" x14ac:dyDescent="0.35">
      <c r="V8" s="163" t="s">
        <v>33</v>
      </c>
      <c r="W8" s="164">
        <f>KPI_SUMMARY!D8</f>
        <v>16893702.260000009</v>
      </c>
    </row>
  </sheetData>
  <mergeCells count="14">
    <mergeCell ref="V1:W1"/>
    <mergeCell ref="N3:O3"/>
    <mergeCell ref="N4:O6"/>
    <mergeCell ref="Q3:R3"/>
    <mergeCell ref="Q4:R6"/>
    <mergeCell ref="B1:R1"/>
    <mergeCell ref="B3:C3"/>
    <mergeCell ref="B4:C6"/>
    <mergeCell ref="E3:F3"/>
    <mergeCell ref="E4:F6"/>
    <mergeCell ref="H3:I3"/>
    <mergeCell ref="H4:I6"/>
    <mergeCell ref="K3:L3"/>
    <mergeCell ref="K4:L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B3DA-9533-4ECF-8A1A-35A05510E9ED}">
  <sheetPr>
    <tabColor rgb="FF7030A0"/>
  </sheetPr>
  <dimension ref="B1:I45"/>
  <sheetViews>
    <sheetView topLeftCell="A29" zoomScaleNormal="100" workbookViewId="0">
      <selection activeCell="F36" sqref="F36"/>
    </sheetView>
  </sheetViews>
  <sheetFormatPr defaultRowHeight="14.5" x14ac:dyDescent="0.35"/>
  <cols>
    <col min="2" max="2" width="11.453125" customWidth="1"/>
    <col min="3" max="3" width="30.1796875" customWidth="1"/>
    <col min="4" max="4" width="27.1796875" customWidth="1"/>
    <col min="5" max="5" width="26.81640625" customWidth="1"/>
    <col min="6" max="6" width="19.26953125" customWidth="1"/>
    <col min="7" max="9" width="11.1796875" customWidth="1"/>
  </cols>
  <sheetData>
    <row r="1" spans="2:9" ht="19" x14ac:dyDescent="0.45">
      <c r="B1" s="131" t="s">
        <v>110</v>
      </c>
      <c r="C1" s="131"/>
      <c r="D1" s="131"/>
      <c r="E1" s="131"/>
      <c r="F1" s="131"/>
      <c r="G1" s="131"/>
      <c r="H1" s="131"/>
      <c r="I1" s="131"/>
    </row>
    <row r="4" spans="2:9" ht="15.5" x14ac:dyDescent="0.4">
      <c r="C4" s="152" t="s">
        <v>111</v>
      </c>
      <c r="D4" s="153"/>
      <c r="E4" s="153"/>
    </row>
    <row r="5" spans="2:9" ht="84.5" customHeight="1" x14ac:dyDescent="0.35">
      <c r="C5" s="150" t="s">
        <v>112</v>
      </c>
      <c r="D5" s="151"/>
      <c r="E5" s="151"/>
    </row>
    <row r="6" spans="2:9" ht="18" customHeight="1" x14ac:dyDescent="0.35"/>
    <row r="7" spans="2:9" ht="15.5" x14ac:dyDescent="0.4">
      <c r="C7" s="134" t="s">
        <v>113</v>
      </c>
      <c r="D7" s="134"/>
      <c r="E7" s="134"/>
    </row>
    <row r="8" spans="2:9" ht="15.5" x14ac:dyDescent="0.4">
      <c r="B8" s="132"/>
      <c r="C8" s="137" t="s">
        <v>114</v>
      </c>
      <c r="D8" s="138" t="s">
        <v>59</v>
      </c>
      <c r="E8" s="137" t="s">
        <v>115</v>
      </c>
    </row>
    <row r="9" spans="2:9" x14ac:dyDescent="0.35">
      <c r="C9" s="140" t="s">
        <v>116</v>
      </c>
      <c r="D9" s="140" t="s">
        <v>117</v>
      </c>
      <c r="E9" s="140" t="s">
        <v>118</v>
      </c>
    </row>
    <row r="10" spans="2:9" x14ac:dyDescent="0.35">
      <c r="C10" s="141" t="s">
        <v>119</v>
      </c>
      <c r="D10" s="141" t="s">
        <v>120</v>
      </c>
      <c r="E10" s="141" t="s">
        <v>121</v>
      </c>
    </row>
    <row r="11" spans="2:9" x14ac:dyDescent="0.35">
      <c r="C11" s="140" t="s">
        <v>122</v>
      </c>
      <c r="D11" s="140" t="s">
        <v>123</v>
      </c>
      <c r="E11" s="140" t="s">
        <v>124</v>
      </c>
    </row>
    <row r="12" spans="2:9" x14ac:dyDescent="0.35">
      <c r="C12" s="141" t="s">
        <v>125</v>
      </c>
      <c r="D12" s="141" t="s">
        <v>126</v>
      </c>
      <c r="E12" s="141" t="s">
        <v>127</v>
      </c>
    </row>
    <row r="14" spans="2:9" ht="15.5" x14ac:dyDescent="0.4">
      <c r="C14" s="135" t="s">
        <v>128</v>
      </c>
      <c r="D14" s="135"/>
      <c r="E14" s="135"/>
    </row>
    <row r="15" spans="2:9" x14ac:dyDescent="0.35">
      <c r="C15" s="136" t="s">
        <v>130</v>
      </c>
      <c r="D15" s="136" t="s">
        <v>59</v>
      </c>
      <c r="E15" s="136" t="s">
        <v>129</v>
      </c>
    </row>
    <row r="16" spans="2:9" x14ac:dyDescent="0.35">
      <c r="C16" s="142" t="s">
        <v>131</v>
      </c>
      <c r="D16" s="143">
        <v>9.7699999999999995E-2</v>
      </c>
      <c r="E16" s="142" t="s">
        <v>132</v>
      </c>
    </row>
    <row r="17" spans="3:5" x14ac:dyDescent="0.35">
      <c r="C17" s="141" t="s">
        <v>133</v>
      </c>
      <c r="D17" s="144">
        <v>0.1197</v>
      </c>
      <c r="E17" s="141" t="s">
        <v>134</v>
      </c>
    </row>
    <row r="18" spans="3:5" x14ac:dyDescent="0.35">
      <c r="C18" s="142" t="s">
        <v>135</v>
      </c>
      <c r="D18" s="143">
        <v>0.1439</v>
      </c>
      <c r="E18" s="142" t="s">
        <v>136</v>
      </c>
    </row>
    <row r="20" spans="3:5" ht="15.5" x14ac:dyDescent="0.4">
      <c r="C20" s="139" t="s">
        <v>137</v>
      </c>
      <c r="D20" s="139"/>
      <c r="E20" s="139"/>
    </row>
    <row r="21" spans="3:5" ht="15.5" x14ac:dyDescent="0.4">
      <c r="C21" s="90" t="s">
        <v>114</v>
      </c>
      <c r="D21" s="90" t="s">
        <v>59</v>
      </c>
      <c r="E21" s="90" t="s">
        <v>138</v>
      </c>
    </row>
    <row r="22" spans="3:5" x14ac:dyDescent="0.35">
      <c r="C22" s="145" t="s">
        <v>139</v>
      </c>
      <c r="D22" s="145" t="s">
        <v>144</v>
      </c>
      <c r="E22" s="145" t="s">
        <v>149</v>
      </c>
    </row>
    <row r="23" spans="3:5" x14ac:dyDescent="0.35">
      <c r="C23" s="141" t="s">
        <v>140</v>
      </c>
      <c r="D23" s="144">
        <v>0.73129999999999995</v>
      </c>
      <c r="E23" s="141" t="s">
        <v>148</v>
      </c>
    </row>
    <row r="24" spans="3:5" x14ac:dyDescent="0.35">
      <c r="C24" s="145" t="s">
        <v>141</v>
      </c>
      <c r="D24" s="145" t="s">
        <v>145</v>
      </c>
      <c r="E24" s="145" t="s">
        <v>150</v>
      </c>
    </row>
    <row r="25" spans="3:5" x14ac:dyDescent="0.35">
      <c r="C25" s="141" t="s">
        <v>142</v>
      </c>
      <c r="D25" s="144">
        <v>0.1787</v>
      </c>
      <c r="E25" s="141" t="s">
        <v>147</v>
      </c>
    </row>
    <row r="26" spans="3:5" x14ac:dyDescent="0.35">
      <c r="C26" s="145" t="s">
        <v>143</v>
      </c>
      <c r="D26" s="146">
        <v>0.15659999999999999</v>
      </c>
      <c r="E26" s="145" t="s">
        <v>146</v>
      </c>
    </row>
    <row r="28" spans="3:5" ht="15.5" x14ac:dyDescent="0.4">
      <c r="C28" s="147" t="s">
        <v>151</v>
      </c>
      <c r="D28" s="147"/>
      <c r="E28" s="147"/>
    </row>
    <row r="29" spans="3:5" x14ac:dyDescent="0.35">
      <c r="C29" s="148" t="s">
        <v>152</v>
      </c>
      <c r="D29" s="148" t="s">
        <v>153</v>
      </c>
      <c r="E29" s="148" t="s">
        <v>154</v>
      </c>
    </row>
    <row r="30" spans="3:5" x14ac:dyDescent="0.35">
      <c r="C30" s="149" t="s">
        <v>155</v>
      </c>
      <c r="D30" s="149" t="s">
        <v>161</v>
      </c>
      <c r="E30" s="149" t="s">
        <v>164</v>
      </c>
    </row>
    <row r="31" spans="3:5" x14ac:dyDescent="0.35">
      <c r="C31" s="22" t="s">
        <v>156</v>
      </c>
      <c r="D31" s="22" t="s">
        <v>161</v>
      </c>
      <c r="E31" s="22" t="s">
        <v>165</v>
      </c>
    </row>
    <row r="32" spans="3:5" x14ac:dyDescent="0.35">
      <c r="C32" s="149" t="s">
        <v>157</v>
      </c>
      <c r="D32" s="149" t="s">
        <v>161</v>
      </c>
      <c r="E32" s="149" t="s">
        <v>166</v>
      </c>
    </row>
    <row r="33" spans="3:5" x14ac:dyDescent="0.35">
      <c r="C33" s="22" t="s">
        <v>158</v>
      </c>
      <c r="D33" s="22" t="s">
        <v>162</v>
      </c>
      <c r="E33" s="22" t="s">
        <v>167</v>
      </c>
    </row>
    <row r="34" spans="3:5" x14ac:dyDescent="0.35">
      <c r="C34" s="149" t="s">
        <v>159</v>
      </c>
      <c r="D34" s="149" t="s">
        <v>162</v>
      </c>
      <c r="E34" s="149" t="s">
        <v>168</v>
      </c>
    </row>
    <row r="35" spans="3:5" x14ac:dyDescent="0.35">
      <c r="C35" s="22" t="s">
        <v>160</v>
      </c>
      <c r="D35" s="22" t="s">
        <v>163</v>
      </c>
      <c r="E35" s="22" t="s">
        <v>169</v>
      </c>
    </row>
    <row r="37" spans="3:5" ht="15.5" x14ac:dyDescent="0.4">
      <c r="C37" s="154" t="s">
        <v>170</v>
      </c>
      <c r="D37" s="154"/>
      <c r="E37" s="154"/>
    </row>
    <row r="38" spans="3:5" x14ac:dyDescent="0.35">
      <c r="C38" s="157" t="s">
        <v>171</v>
      </c>
      <c r="D38" s="158" t="s">
        <v>172</v>
      </c>
      <c r="E38" s="158"/>
    </row>
    <row r="39" spans="3:5" x14ac:dyDescent="0.35">
      <c r="C39" s="149" t="s">
        <v>1</v>
      </c>
      <c r="D39" s="159">
        <f>KPI_SUMMARY!D4</f>
        <v>127931598.5</v>
      </c>
      <c r="E39" s="159"/>
    </row>
    <row r="40" spans="3:5" x14ac:dyDescent="0.35">
      <c r="C40" s="22" t="s">
        <v>173</v>
      </c>
      <c r="D40" s="155">
        <f>KPI_SUMMARY!D5</f>
        <v>9205248.2400000021</v>
      </c>
      <c r="E40" s="155"/>
    </row>
    <row r="41" spans="3:5" x14ac:dyDescent="0.35">
      <c r="C41" s="149" t="s">
        <v>83</v>
      </c>
      <c r="D41" s="159">
        <f>KPI_SUMMARY!D6</f>
        <v>118726350.25999992</v>
      </c>
      <c r="E41" s="159"/>
    </row>
    <row r="42" spans="3:5" x14ac:dyDescent="0.35">
      <c r="C42" s="22" t="s">
        <v>70</v>
      </c>
      <c r="D42" s="155">
        <f>KPI_SUMMARY!D7</f>
        <v>101832648</v>
      </c>
      <c r="E42" s="155"/>
    </row>
    <row r="43" spans="3:5" x14ac:dyDescent="0.35">
      <c r="C43" s="149" t="s">
        <v>73</v>
      </c>
      <c r="D43" s="159">
        <f>KPI_SUMMARY!D8</f>
        <v>16893702.260000009</v>
      </c>
      <c r="E43" s="159"/>
    </row>
    <row r="44" spans="3:5" x14ac:dyDescent="0.35">
      <c r="C44" s="22" t="s">
        <v>86</v>
      </c>
      <c r="D44" s="156">
        <f>KPI_SUMMARY!D9</f>
        <v>0.14229109395685402</v>
      </c>
      <c r="E44" s="156"/>
    </row>
    <row r="45" spans="3:5" x14ac:dyDescent="0.35">
      <c r="C45" s="149" t="s">
        <v>174</v>
      </c>
      <c r="D45" s="159">
        <f>KPI_SUMMARY!D10</f>
        <v>1125806</v>
      </c>
      <c r="E45" s="159"/>
    </row>
  </sheetData>
  <mergeCells count="16">
    <mergeCell ref="D43:E43"/>
    <mergeCell ref="D44:E44"/>
    <mergeCell ref="D45:E45"/>
    <mergeCell ref="C37:E37"/>
    <mergeCell ref="D38:E38"/>
    <mergeCell ref="D39:E39"/>
    <mergeCell ref="D40:E40"/>
    <mergeCell ref="D41:E41"/>
    <mergeCell ref="D42:E42"/>
    <mergeCell ref="B1:I1"/>
    <mergeCell ref="C7:E7"/>
    <mergeCell ref="C14:E14"/>
    <mergeCell ref="C20:E20"/>
    <mergeCell ref="C28:E28"/>
    <mergeCell ref="C5:E5"/>
    <mergeCell ref="C4:E4"/>
  </mergeCells>
  <conditionalFormatting sqref="D30:D35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KPI_SUMMARY</vt:lpstr>
      <vt:lpstr>PIVOT_ANALYSIS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ANSHUL RAGHUVANSHI</cp:lastModifiedBy>
  <dcterms:created xsi:type="dcterms:W3CDTF">2014-01-28T02:45:41Z</dcterms:created>
  <dcterms:modified xsi:type="dcterms:W3CDTF">2026-05-09T19:43:10Z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